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ummary" sheetId="1" r:id="rId1"/>
    <sheet name="Label System" sheetId="2" r:id="rId2"/>
    <sheet name="Inbox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<sst xmlns="http://schemas.openxmlformats.org/spreadsheetml/2006/main" count="198" uniqueCount="127">
  <si>
    <t>Email Management - Shift Summary</t>
  </si>
  <si>
    <t>Monday, September 28, 2026  |  Calculated from the Inbox Log tab  |  Sample data</t>
  </si>
  <si>
    <t>Label</t>
  </si>
  <si>
    <t>Emails</t>
  </si>
  <si>
    <t>Status</t>
  </si>
  <si>
    <t>1-Urgent</t>
  </si>
  <si>
    <t>Not started</t>
  </si>
  <si>
    <t>2-Clients</t>
  </si>
  <si>
    <t>In progress</t>
  </si>
  <si>
    <t>3-Finance</t>
  </si>
  <si>
    <t>Waiting</t>
  </si>
  <si>
    <t>4-Orders</t>
  </si>
  <si>
    <t>Done</t>
  </si>
  <si>
    <t>5-Team</t>
  </si>
  <si>
    <t>6-Newsletters</t>
  </si>
  <si>
    <t>7-Waiting</t>
  </si>
  <si>
    <t>Total</t>
  </si>
  <si>
    <t>Average reply time (hours)</t>
  </si>
  <si>
    <t>Replies on time</t>
  </si>
  <si>
    <t>Still open at end of shift</t>
  </si>
  <si>
    <t>Inbox Label System and Filter Rules</t>
  </si>
  <si>
    <t>How every incoming email gets sorted, and how fast it must be answered  |  Sample setup</t>
  </si>
  <si>
    <t>What goes here</t>
  </si>
  <si>
    <t>Color</t>
  </si>
  <si>
    <t>Automatic filter rule</t>
  </si>
  <si>
    <t>Reply target (hours)</t>
  </si>
  <si>
    <t>Payment problems, bank alerts, anything a client marks urgent</t>
  </si>
  <si>
    <t>Red</t>
  </si>
  <si>
    <t>Subject has "urgent" OR from the bank OR from a VIP client</t>
  </si>
  <si>
    <t>All customer and client emails</t>
  </si>
  <si>
    <t>Blue</t>
  </si>
  <si>
    <t>From any address on the client list</t>
  </si>
  <si>
    <t>Invoices, receipts, supplier price notices</t>
  </si>
  <si>
    <t>Green</t>
  </si>
  <si>
    <t>Subject has "invoice", "receipt" or "statement"</t>
  </si>
  <si>
    <t>Shopee, Lazada and website order notices</t>
  </si>
  <si>
    <t>Orange</t>
  </si>
  <si>
    <t>From the marketplace notification addresses</t>
  </si>
  <si>
    <t>Process same day</t>
  </si>
  <si>
    <t>Internal updates and reminders</t>
  </si>
  <si>
    <t>Purple</t>
  </si>
  <si>
    <t>From the company's own email domain</t>
  </si>
  <si>
    <t>Promos, subscriptions, tips</t>
  </si>
  <si>
    <t>Gray</t>
  </si>
  <si>
    <t>Email has an "unsubscribe" link, skip the inbox</t>
  </si>
  <si>
    <t>No reply</t>
  </si>
  <si>
    <t>Emails we sent and are waiting on a reply to</t>
  </si>
  <si>
    <t>Yellow</t>
  </si>
  <si>
    <t>Added by hand after sending</t>
  </si>
  <si>
    <t>Follow up after 3 days</t>
  </si>
  <si>
    <t>DAILY INBOX ROUTINE</t>
  </si>
  <si>
    <t>1. Check the inbox 3 times a day: start of shift, middle, and 1 hour before the end.</t>
  </si>
  <si>
    <t>2. Handle 1-Urgent first, then 2-Clients, then everything else.</t>
  </si>
  <si>
    <t>3. If a reply takes under 2 minutes, answer it right away.</t>
  </si>
  <si>
    <t>4. Anything waiting on someone else gets the 7-Waiting label and a follow-up date.</t>
  </si>
  <si>
    <t>5. End of shift: every email is labeled, and the log below is updated.</t>
  </si>
  <si>
    <t>Inbox Log - Monday, September 28, 2026</t>
  </si>
  <si>
    <t>Every email received in one shift, how it was handled, and whether the reply was on time</t>
  </si>
  <si>
    <t>Received</t>
  </si>
  <si>
    <t>From</t>
  </si>
  <si>
    <t>Subject</t>
  </si>
  <si>
    <t>Priority</t>
  </si>
  <si>
    <t>Action taken</t>
  </si>
  <si>
    <t>Replied at</t>
  </si>
  <si>
    <t>Reply time (hours)</t>
  </si>
  <si>
    <t>Target (hours)</t>
  </si>
  <si>
    <t>On time?</t>
  </si>
  <si>
    <t>billing@tagaytaywellness.ph</t>
  </si>
  <si>
    <t>URGENT: Payment failed for September invoice</t>
  </si>
  <si>
    <t>High</t>
  </si>
  <si>
    <t>Replied, sent new payment link</t>
  </si>
  <si>
    <t>no-reply@shopee.ph</t>
  </si>
  <si>
    <t>New order #2409280123</t>
  </si>
  <si>
    <t>Medium</t>
  </si>
  <si>
    <t>Order processed and packed</t>
  </si>
  <si>
    <t>carla.mendoza@yahoo.com</t>
  </si>
  <si>
    <t>Where is my order ORD-10712?</t>
  </si>
  <si>
    <t>Replied with tracking link</t>
  </si>
  <si>
    <t>news@canva.com</t>
  </si>
  <si>
    <t>5 new templates this week</t>
  </si>
  <si>
    <t>Low</t>
  </si>
  <si>
    <t>Archived</t>
  </si>
  <si>
    <t>accounting@batangasbean.ph</t>
  </si>
  <si>
    <t>Invoice BBT-0923 for coffee beans</t>
  </si>
  <si>
    <t>Saved invoice, forwarded to accounting</t>
  </si>
  <si>
    <t>mark.v@gmail.com</t>
  </si>
  <si>
    <t>Refund request ORD-10688</t>
  </si>
  <si>
    <t>Sent refund steps and return label</t>
  </si>
  <si>
    <t>team@tahanan.ph</t>
  </si>
  <si>
    <t>Weekly stock count results</t>
  </si>
  <si>
    <t>Noted 2 low-stock items, replied</t>
  </si>
  <si>
    <t>alerts@samplebank.ph</t>
  </si>
  <si>
    <t>Low balance alert</t>
  </si>
  <si>
    <t>Flagged to owner by chat and email</t>
  </si>
  <si>
    <t>liza.ramos@gmail.com</t>
  </si>
  <si>
    <t>Wrong color received</t>
  </si>
  <si>
    <t>Shipped replacement, replied</t>
  </si>
  <si>
    <t>no-reply@lazada.com.ph</t>
  </si>
  <si>
    <t>Order cancelled #LZ88213</t>
  </si>
  <si>
    <t>Updated order tracker</t>
  </si>
  <si>
    <t>sales@tagaytaydairy.ph</t>
  </si>
  <si>
    <t>Price increase from October</t>
  </si>
  <si>
    <t>Forwarded to owner for a decision</t>
  </si>
  <si>
    <t>promo@lazada.com.ph</t>
  </si>
  <si>
    <t>11.11 seller campaign</t>
  </si>
  <si>
    <t>rotary.cavite@gmail.com</t>
  </si>
  <si>
    <t>Catering for Oct 12 event</t>
  </si>
  <si>
    <t>Sent quote, waiting on client</t>
  </si>
  <si>
    <t>hr@tahanan.ph</t>
  </si>
  <si>
    <t>Payroll cutoff reminder</t>
  </si>
  <si>
    <t>Added to calendar</t>
  </si>
  <si>
    <t>grace.tan@yahoo.com</t>
  </si>
  <si>
    <t>Question about bulk discount</t>
  </si>
  <si>
    <t>Checking price list</t>
  </si>
  <si>
    <t>billing@canva.com</t>
  </si>
  <si>
    <t>Receipt for Canva Pro</t>
  </si>
  <si>
    <t>Saved receipt to Finance folder</t>
  </si>
  <si>
    <t>dizon.events@gmail.com</t>
  </si>
  <si>
    <t>Re: returned check</t>
  </si>
  <si>
    <t>Replied with payment options</t>
  </si>
  <si>
    <t>New order #2409280877</t>
  </si>
  <si>
    <t>To process tomorrow 8 AM</t>
  </si>
  <si>
    <t>jenny.lim@gmail.com</t>
  </si>
  <si>
    <t>Thank you!</t>
  </si>
  <si>
    <t>Replied with thanks</t>
  </si>
  <si>
    <t>Tomorrow's meeting agenda</t>
  </si>
  <si>
    <t>Preparing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</si>
</sst>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0.0"/>
  </numFmts>
  <fonts count="27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b/>
      <sz val="10"/>
      <color rgb="FF0F766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78" fontId="2" fillId="0" borderId="1" xfId="0" applyNumberFormat="1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0" borderId="2" xfId="0" applyFont="1" applyBorder="1"/>
    <xf numFmtId="0" fontId="5" fillId="3" borderId="1" xfId="0" applyFont="1" applyFill="1" applyBorder="1"/>
    <xf numFmtId="0" fontId="2" fillId="0" borderId="1" xfId="0" applyFont="1" applyBorder="1" applyAlignment="1">
      <alignment vertical="top" wrapText="1"/>
    </xf>
    <xf numFmtId="0" fontId="5" fillId="5" borderId="1" xfId="0" applyFont="1" applyFill="1" applyBorder="1"/>
    <xf numFmtId="0" fontId="5" fillId="7" borderId="1" xfId="0" applyFont="1" applyFill="1" applyBorder="1"/>
    <xf numFmtId="0" fontId="5" fillId="4" borderId="1" xfId="0" applyFont="1" applyFill="1" applyBorder="1"/>
    <xf numFmtId="0" fontId="5" fillId="8" borderId="1" xfId="0" applyFont="1" applyFill="1" applyBorder="1"/>
    <xf numFmtId="0" fontId="5" fillId="6" borderId="1" xfId="0" applyFont="1" applyFill="1" applyBorder="1"/>
    <xf numFmtId="0" fontId="5" fillId="9" borderId="1" xfId="0" applyFont="1" applyFill="1" applyBorder="1"/>
    <xf numFmtId="0" fontId="6" fillId="0" borderId="0" xfId="0" applyFont="1"/>
    <xf numFmtId="0" fontId="2" fillId="9" borderId="1" xfId="0" applyFont="1" applyFill="1" applyBorder="1"/>
    <xf numFmtId="0" fontId="5" fillId="0" borderId="1" xfId="0" applyFont="1" applyBorder="1"/>
    <xf numFmtId="0" fontId="5" fillId="5" borderId="0" xfId="0" applyFont="1" applyFill="1"/>
    <xf numFmtId="179" fontId="6" fillId="5" borderId="0" xfId="0" applyNumberFormat="1" applyFont="1" applyFill="1"/>
    <xf numFmtId="49" fontId="6" fillId="5" borderId="0" xfId="0" applyNumberFormat="1" applyFont="1" applyFill="1"/>
    <xf numFmtId="1" fontId="6" fillId="5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F2CC"/>
        </patternFill>
      </fill>
    </dxf>
    <dxf>
      <font>
        <b val="1"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A1" sqref="A1"/>
    </sheetView>
  </sheetViews>
  <sheetFormatPr defaultColWidth="9" defaultRowHeight="15" outlineLevelCol="4"/>
  <cols>
    <col min="1" max="1" width="30" customWidth="1"/>
    <col min="2" max="2" width="12" customWidth="1"/>
    <col min="3" max="3" width="4" customWidth="1"/>
    <col min="4" max="4" width="14" customWidth="1"/>
    <col min="5" max="5" width="10" customWidth="1"/>
  </cols>
  <sheetData>
    <row r="1" ht="20.25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4" t="s">
        <v>2</v>
      </c>
      <c r="B4" s="4" t="s">
        <v>3</v>
      </c>
      <c r="C4" s="2"/>
      <c r="D4" s="4" t="s">
        <v>4</v>
      </c>
      <c r="E4" s="4" t="s">
        <v>3</v>
      </c>
    </row>
    <row r="5" spans="1:5">
      <c r="A5" s="7" t="s">
        <v>5</v>
      </c>
      <c r="B5" s="6">
        <f>COUNTIF('Inbox Log'!$D$5:$D$24,A5)</f>
        <v>3</v>
      </c>
      <c r="C5" s="2"/>
      <c r="D5" s="6" t="s">
        <v>6</v>
      </c>
      <c r="E5" s="6">
        <f>COUNTIF('Inbox Log'!$G$5:$G$24,D5)</f>
        <v>1</v>
      </c>
    </row>
    <row r="6" spans="1:5">
      <c r="A6" s="9" t="s">
        <v>7</v>
      </c>
      <c r="B6" s="6">
        <f>COUNTIF('Inbox Log'!$D$5:$D$24,A6)</f>
        <v>6</v>
      </c>
      <c r="C6" s="2"/>
      <c r="D6" s="6" t="s">
        <v>8</v>
      </c>
      <c r="E6" s="6">
        <f>COUNTIF('Inbox Log'!$G$5:$G$24,D6)</f>
        <v>2</v>
      </c>
    </row>
    <row r="7" spans="1:5">
      <c r="A7" s="11" t="s">
        <v>9</v>
      </c>
      <c r="B7" s="6">
        <f>COUNTIF('Inbox Log'!$D$5:$D$24,A7)</f>
        <v>3</v>
      </c>
      <c r="C7" s="2"/>
      <c r="D7" s="6" t="s">
        <v>10</v>
      </c>
      <c r="E7" s="6">
        <f>COUNTIF('Inbox Log'!$G$5:$G$24,D7)</f>
        <v>2</v>
      </c>
    </row>
    <row r="8" spans="1:5">
      <c r="A8" s="8" t="s">
        <v>11</v>
      </c>
      <c r="B8" s="6">
        <f>COUNTIF('Inbox Log'!$D$5:$D$24,A8)</f>
        <v>3</v>
      </c>
      <c r="C8" s="2"/>
      <c r="D8" s="6" t="s">
        <v>12</v>
      </c>
      <c r="E8" s="6">
        <f>COUNTIF('Inbox Log'!$G$5:$G$24,D8)</f>
        <v>15</v>
      </c>
    </row>
    <row r="9" spans="1:5">
      <c r="A9" s="12" t="s">
        <v>13</v>
      </c>
      <c r="B9" s="6">
        <f>COUNTIF('Inbox Log'!$D$5:$D$24,A9)</f>
        <v>3</v>
      </c>
      <c r="C9" s="2"/>
      <c r="D9" s="2"/>
      <c r="E9" s="2"/>
    </row>
    <row r="10" spans="1:5">
      <c r="A10" s="10" t="s">
        <v>14</v>
      </c>
      <c r="B10" s="6">
        <f>COUNTIF('Inbox Log'!$D$5:$D$24,A10)</f>
        <v>2</v>
      </c>
      <c r="C10" s="2"/>
      <c r="D10" s="2"/>
      <c r="E10" s="2"/>
    </row>
    <row r="11" spans="1:5">
      <c r="A11" s="23" t="s">
        <v>15</v>
      </c>
      <c r="B11" s="6">
        <f>COUNTIF('Inbox Log'!$D$5:$D$24,A11)</f>
        <v>0</v>
      </c>
      <c r="C11" s="2"/>
      <c r="D11" s="2"/>
      <c r="E11" s="2"/>
    </row>
    <row r="12" spans="1:5">
      <c r="A12" s="24" t="s">
        <v>16</v>
      </c>
      <c r="B12" s="24">
        <f>SUM(B5:B11)</f>
        <v>20</v>
      </c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5" t="s">
        <v>17</v>
      </c>
      <c r="B15" s="26">
        <f>ROUND(AVERAGE('Inbox Log'!I5:I24),1)</f>
        <v>1.1</v>
      </c>
      <c r="C15" s="2"/>
      <c r="D15" s="2"/>
      <c r="E15" s="2"/>
    </row>
    <row r="16" spans="1:5">
      <c r="A16" s="25" t="s">
        <v>18</v>
      </c>
      <c r="B16" s="27" t="str">
        <f>COUNTIF('Inbox Log'!K5:K24,"On time")&amp;" of "&amp;(COUNTIF('Inbox Log'!K5:K24,"On time")+COUNTIF('Inbox Log'!K5:K24,"Late"))</f>
        <v>11 of 12</v>
      </c>
      <c r="C16" s="2"/>
      <c r="D16" s="2"/>
      <c r="E16" s="2"/>
    </row>
    <row r="17" spans="1:5">
      <c r="A17" s="25" t="s">
        <v>19</v>
      </c>
      <c r="B17" s="28">
        <f>COUNTIF('Inbox Log'!G5:G24,"&lt;&gt;Done")</f>
        <v>5</v>
      </c>
      <c r="C17" s="2"/>
      <c r="D17" s="2"/>
      <c r="E1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5" outlineLevelCol="5"/>
  <cols>
    <col min="1" max="1" width="16" customWidth="1"/>
    <col min="2" max="2" width="40" customWidth="1"/>
    <col min="3" max="3" width="9" customWidth="1"/>
    <col min="4" max="4" width="30" customWidth="1"/>
    <col min="5" max="5" width="22" customWidth="1"/>
    <col min="6" max="6" width="16" customWidth="1"/>
  </cols>
  <sheetData>
    <row r="1" ht="20.25" spans="1:6">
      <c r="A1" s="1" t="s">
        <v>20</v>
      </c>
      <c r="B1" s="2"/>
      <c r="C1" s="2"/>
      <c r="D1" s="2"/>
      <c r="E1" s="2"/>
      <c r="F1" s="2"/>
    </row>
    <row r="2" spans="1:6">
      <c r="A2" s="3" t="s">
        <v>21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ht="30" customHeight="1" spans="1:6">
      <c r="A4" s="4" t="s">
        <v>2</v>
      </c>
      <c r="B4" s="4" t="s">
        <v>22</v>
      </c>
      <c r="C4" s="4" t="s">
        <v>23</v>
      </c>
      <c r="D4" s="4" t="s">
        <v>24</v>
      </c>
      <c r="E4" s="13"/>
      <c r="F4" s="4" t="s">
        <v>25</v>
      </c>
    </row>
    <row r="5" ht="28.5" spans="1:6">
      <c r="A5" s="14" t="s">
        <v>5</v>
      </c>
      <c r="B5" s="15" t="s">
        <v>26</v>
      </c>
      <c r="C5" s="6" t="s">
        <v>27</v>
      </c>
      <c r="D5" s="15" t="s">
        <v>28</v>
      </c>
      <c r="E5" s="13"/>
      <c r="F5" s="6">
        <v>2</v>
      </c>
    </row>
    <row r="6" spans="1:6">
      <c r="A6" s="16" t="s">
        <v>7</v>
      </c>
      <c r="B6" s="15" t="s">
        <v>29</v>
      </c>
      <c r="C6" s="6" t="s">
        <v>30</v>
      </c>
      <c r="D6" s="15" t="s">
        <v>31</v>
      </c>
      <c r="E6" s="13"/>
      <c r="F6" s="6">
        <v>24</v>
      </c>
    </row>
    <row r="7" spans="1:6">
      <c r="A7" s="17" t="s">
        <v>9</v>
      </c>
      <c r="B7" s="15" t="s">
        <v>32</v>
      </c>
      <c r="C7" s="6" t="s">
        <v>33</v>
      </c>
      <c r="D7" s="15" t="s">
        <v>34</v>
      </c>
      <c r="E7" s="13"/>
      <c r="F7" s="6">
        <v>48</v>
      </c>
    </row>
    <row r="8" ht="28.5" spans="1:6">
      <c r="A8" s="18" t="s">
        <v>11</v>
      </c>
      <c r="B8" s="15" t="s">
        <v>35</v>
      </c>
      <c r="C8" s="6" t="s">
        <v>36</v>
      </c>
      <c r="D8" s="15" t="s">
        <v>37</v>
      </c>
      <c r="E8" s="13"/>
      <c r="F8" s="6" t="s">
        <v>38</v>
      </c>
    </row>
    <row r="9" spans="1:6">
      <c r="A9" s="19" t="s">
        <v>13</v>
      </c>
      <c r="B9" s="15" t="s">
        <v>39</v>
      </c>
      <c r="C9" s="6" t="s">
        <v>40</v>
      </c>
      <c r="D9" s="15" t="s">
        <v>41</v>
      </c>
      <c r="E9" s="13"/>
      <c r="F9" s="6">
        <v>24</v>
      </c>
    </row>
    <row r="10" spans="1:6">
      <c r="A10" s="20" t="s">
        <v>14</v>
      </c>
      <c r="B10" s="15" t="s">
        <v>42</v>
      </c>
      <c r="C10" s="6" t="s">
        <v>43</v>
      </c>
      <c r="D10" s="15" t="s">
        <v>44</v>
      </c>
      <c r="E10" s="13"/>
      <c r="F10" s="6" t="s">
        <v>45</v>
      </c>
    </row>
    <row r="11" ht="28.5" spans="1:6">
      <c r="A11" s="21" t="s">
        <v>15</v>
      </c>
      <c r="B11" s="15" t="s">
        <v>46</v>
      </c>
      <c r="C11" s="6" t="s">
        <v>47</v>
      </c>
      <c r="D11" s="15" t="s">
        <v>48</v>
      </c>
      <c r="E11" s="13"/>
      <c r="F11" s="6" t="s">
        <v>49</v>
      </c>
    </row>
    <row r="12" spans="1:6">
      <c r="A12" s="2"/>
      <c r="B12" s="2"/>
      <c r="C12" s="2"/>
      <c r="D12" s="2"/>
      <c r="E12" s="2"/>
      <c r="F12" s="2"/>
    </row>
    <row r="13" spans="1:6">
      <c r="A13" s="22" t="s">
        <v>50</v>
      </c>
      <c r="B13" s="2"/>
      <c r="C13" s="2"/>
      <c r="D13" s="2"/>
      <c r="E13" s="2"/>
      <c r="F13" s="2"/>
    </row>
    <row r="14" spans="1:6">
      <c r="A14" s="2" t="s">
        <v>51</v>
      </c>
      <c r="B14" s="2"/>
      <c r="C14" s="2"/>
      <c r="D14" s="2"/>
      <c r="E14" s="2"/>
      <c r="F14" s="2"/>
    </row>
    <row r="15" spans="1:6">
      <c r="A15" s="2" t="s">
        <v>52</v>
      </c>
      <c r="B15" s="2"/>
      <c r="C15" s="2"/>
      <c r="D15" s="2"/>
      <c r="E15" s="2"/>
      <c r="F15" s="2"/>
    </row>
    <row r="16" spans="1:6">
      <c r="A16" s="2" t="s">
        <v>53</v>
      </c>
      <c r="B16" s="2"/>
      <c r="C16" s="2"/>
      <c r="D16" s="2"/>
      <c r="E16" s="2"/>
      <c r="F16" s="2"/>
    </row>
    <row r="17" spans="1:6">
      <c r="A17" s="2" t="s">
        <v>54</v>
      </c>
      <c r="B17" s="2"/>
      <c r="C17" s="2"/>
      <c r="D17" s="2"/>
      <c r="E17" s="2"/>
      <c r="F17" s="2"/>
    </row>
    <row r="18" spans="1:6">
      <c r="A18" s="2" t="s">
        <v>55</v>
      </c>
      <c r="B18" s="2"/>
      <c r="C18" s="2"/>
      <c r="D18" s="2"/>
      <c r="E18" s="2"/>
      <c r="F18" s="2"/>
    </row>
  </sheetData>
  <mergeCells count="8">
    <mergeCell ref="D4:E4"/>
    <mergeCell ref="D5:E5"/>
    <mergeCell ref="D6:E6"/>
    <mergeCell ref="D7:E7"/>
    <mergeCell ref="D8:E8"/>
    <mergeCell ref="D9:E9"/>
    <mergeCell ref="D10:E10"/>
    <mergeCell ref="D11:E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10" customWidth="1"/>
    <col min="2" max="2" width="30" customWidth="1"/>
    <col min="3" max="3" width="48" customWidth="1"/>
    <col min="4" max="4" width="14" customWidth="1"/>
    <col min="5" max="5" width="9" customWidth="1"/>
    <col min="6" max="6" width="38" customWidth="1"/>
    <col min="7" max="7" width="12" customWidth="1"/>
    <col min="8" max="9" width="11" customWidth="1"/>
    <col min="10" max="10" width="22" customWidth="1"/>
    <col min="11" max="11" width="10" customWidth="1"/>
  </cols>
  <sheetData>
    <row r="1" ht="20.25" spans="1:1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42" customHeight="1" spans="1:11">
      <c r="A4" s="4" t="s">
        <v>58</v>
      </c>
      <c r="B4" s="4" t="s">
        <v>59</v>
      </c>
      <c r="C4" s="4" t="s">
        <v>60</v>
      </c>
      <c r="D4" s="4" t="s">
        <v>2</v>
      </c>
      <c r="E4" s="4" t="s">
        <v>61</v>
      </c>
      <c r="F4" s="4" t="s">
        <v>62</v>
      </c>
      <c r="G4" s="4" t="s">
        <v>4</v>
      </c>
      <c r="H4" s="4" t="s">
        <v>63</v>
      </c>
      <c r="I4" s="4" t="s">
        <v>64</v>
      </c>
      <c r="J4" s="4" t="s">
        <v>65</v>
      </c>
      <c r="K4" s="4" t="s">
        <v>66</v>
      </c>
    </row>
    <row r="5" spans="1:11">
      <c r="A5" s="5">
        <v>46293.3368055555</v>
      </c>
      <c r="B5" s="6" t="s">
        <v>67</v>
      </c>
      <c r="C5" s="6" t="s">
        <v>68</v>
      </c>
      <c r="D5" s="7" t="s">
        <v>5</v>
      </c>
      <c r="E5" s="6" t="s">
        <v>69</v>
      </c>
      <c r="F5" s="6" t="s">
        <v>70</v>
      </c>
      <c r="G5" s="6" t="s">
        <v>12</v>
      </c>
      <c r="H5" s="5">
        <v>46293.3611111111</v>
      </c>
      <c r="I5" s="6">
        <f t="shared" ref="I5:I24" si="0">IF(H5="","",ROUND((H5-A5)*24,1))</f>
        <v>0.6</v>
      </c>
      <c r="J5" s="6">
        <f>INDEX('Label System'!$F$5:$F$11,MATCH(D5,'Label System'!$A$5:$A$11,0))</f>
        <v>2</v>
      </c>
      <c r="K5" s="6" t="str">
        <f t="shared" ref="K5:K24" si="1">IF(OR(I5="",NOT(ISNUMBER(J5))),"-",IF(I5&lt;=J5,"On time","Late"))</f>
        <v>On time</v>
      </c>
    </row>
    <row r="6" spans="1:11">
      <c r="A6" s="5">
        <v>46293.3416666667</v>
      </c>
      <c r="B6" s="6" t="s">
        <v>71</v>
      </c>
      <c r="C6" s="6" t="s">
        <v>72</v>
      </c>
      <c r="D6" s="8" t="s">
        <v>11</v>
      </c>
      <c r="E6" s="6" t="s">
        <v>73</v>
      </c>
      <c r="F6" s="6" t="s">
        <v>74</v>
      </c>
      <c r="G6" s="6" t="s">
        <v>12</v>
      </c>
      <c r="H6" s="6"/>
      <c r="I6" s="6" t="str">
        <f t="shared" si="0"/>
        <v/>
      </c>
      <c r="J6" s="6" t="str">
        <f>INDEX('Label System'!$F$5:$F$11,MATCH(D6,'Label System'!$A$5:$A$11,0))</f>
        <v>Process same day</v>
      </c>
      <c r="K6" s="6" t="str">
        <f t="shared" si="1"/>
        <v>-</v>
      </c>
    </row>
    <row r="7" spans="1:11">
      <c r="A7" s="5">
        <v>46293.3472222222</v>
      </c>
      <c r="B7" s="6" t="s">
        <v>75</v>
      </c>
      <c r="C7" s="6" t="s">
        <v>76</v>
      </c>
      <c r="D7" s="9" t="s">
        <v>7</v>
      </c>
      <c r="E7" s="6" t="s">
        <v>69</v>
      </c>
      <c r="F7" s="6" t="s">
        <v>77</v>
      </c>
      <c r="G7" s="6" t="s">
        <v>12</v>
      </c>
      <c r="H7" s="5">
        <v>46293.3784722222</v>
      </c>
      <c r="I7" s="6">
        <f t="shared" si="0"/>
        <v>0.8</v>
      </c>
      <c r="J7" s="6">
        <f>INDEX('Label System'!$F$5:$F$11,MATCH(D7,'Label System'!$A$5:$A$11,0))</f>
        <v>24</v>
      </c>
      <c r="K7" s="6" t="str">
        <f t="shared" si="1"/>
        <v>On time</v>
      </c>
    </row>
    <row r="8" spans="1:11">
      <c r="A8" s="5">
        <v>46293.3548611111</v>
      </c>
      <c r="B8" s="6" t="s">
        <v>78</v>
      </c>
      <c r="C8" s="6" t="s">
        <v>79</v>
      </c>
      <c r="D8" s="10" t="s">
        <v>14</v>
      </c>
      <c r="E8" s="6" t="s">
        <v>80</v>
      </c>
      <c r="F8" s="6" t="s">
        <v>81</v>
      </c>
      <c r="G8" s="6" t="s">
        <v>12</v>
      </c>
      <c r="H8" s="6"/>
      <c r="I8" s="6" t="str">
        <f t="shared" si="0"/>
        <v/>
      </c>
      <c r="J8" s="6" t="str">
        <f>INDEX('Label System'!$F$5:$F$11,MATCH(D8,'Label System'!$A$5:$A$11,0))</f>
        <v>No reply</v>
      </c>
      <c r="K8" s="6" t="str">
        <f t="shared" si="1"/>
        <v>-</v>
      </c>
    </row>
    <row r="9" spans="1:11">
      <c r="A9" s="5">
        <v>46293.3645833333</v>
      </c>
      <c r="B9" s="6" t="s">
        <v>82</v>
      </c>
      <c r="C9" s="6" t="s">
        <v>83</v>
      </c>
      <c r="D9" s="11" t="s">
        <v>9</v>
      </c>
      <c r="E9" s="6" t="s">
        <v>73</v>
      </c>
      <c r="F9" s="6" t="s">
        <v>84</v>
      </c>
      <c r="G9" s="6" t="s">
        <v>12</v>
      </c>
      <c r="H9" s="5">
        <v>46293.4270833333</v>
      </c>
      <c r="I9" s="6">
        <f t="shared" si="0"/>
        <v>1.5</v>
      </c>
      <c r="J9" s="6">
        <f>INDEX('Label System'!$F$5:$F$11,MATCH(D9,'Label System'!$A$5:$A$11,0))</f>
        <v>48</v>
      </c>
      <c r="K9" s="6" t="str">
        <f t="shared" si="1"/>
        <v>On time</v>
      </c>
    </row>
    <row r="10" spans="1:11">
      <c r="A10" s="5">
        <v>46293.3763888889</v>
      </c>
      <c r="B10" s="6" t="s">
        <v>85</v>
      </c>
      <c r="C10" s="6" t="s">
        <v>86</v>
      </c>
      <c r="D10" s="9" t="s">
        <v>7</v>
      </c>
      <c r="E10" s="6" t="s">
        <v>69</v>
      </c>
      <c r="F10" s="6" t="s">
        <v>87</v>
      </c>
      <c r="G10" s="6" t="s">
        <v>12</v>
      </c>
      <c r="H10" s="5">
        <v>46293.4027777778</v>
      </c>
      <c r="I10" s="6">
        <f t="shared" si="0"/>
        <v>0.6</v>
      </c>
      <c r="J10" s="6">
        <f>INDEX('Label System'!$F$5:$F$11,MATCH(D10,'Label System'!$A$5:$A$11,0))</f>
        <v>24</v>
      </c>
      <c r="K10" s="6" t="str">
        <f t="shared" si="1"/>
        <v>On time</v>
      </c>
    </row>
    <row r="11" spans="1:11">
      <c r="A11" s="5">
        <v>46293.3854166667</v>
      </c>
      <c r="B11" s="6" t="s">
        <v>88</v>
      </c>
      <c r="C11" s="6" t="s">
        <v>89</v>
      </c>
      <c r="D11" s="12" t="s">
        <v>13</v>
      </c>
      <c r="E11" s="6" t="s">
        <v>73</v>
      </c>
      <c r="F11" s="6" t="s">
        <v>90</v>
      </c>
      <c r="G11" s="6" t="s">
        <v>12</v>
      </c>
      <c r="H11" s="5">
        <v>46293.4583333333</v>
      </c>
      <c r="I11" s="6">
        <f t="shared" si="0"/>
        <v>1.8</v>
      </c>
      <c r="J11" s="6">
        <f>INDEX('Label System'!$F$5:$F$11,MATCH(D11,'Label System'!$A$5:$A$11,0))</f>
        <v>24</v>
      </c>
      <c r="K11" s="6" t="str">
        <f t="shared" si="1"/>
        <v>On time</v>
      </c>
    </row>
    <row r="12" spans="1:11">
      <c r="A12" s="5">
        <v>46293.3958333333</v>
      </c>
      <c r="B12" s="6" t="s">
        <v>91</v>
      </c>
      <c r="C12" s="6" t="s">
        <v>92</v>
      </c>
      <c r="D12" s="7" t="s">
        <v>5</v>
      </c>
      <c r="E12" s="6" t="s">
        <v>69</v>
      </c>
      <c r="F12" s="6" t="s">
        <v>93</v>
      </c>
      <c r="G12" s="6" t="s">
        <v>12</v>
      </c>
      <c r="H12" s="5">
        <v>46293.40625</v>
      </c>
      <c r="I12" s="6">
        <f t="shared" si="0"/>
        <v>0.2</v>
      </c>
      <c r="J12" s="6">
        <f>INDEX('Label System'!$F$5:$F$11,MATCH(D12,'Label System'!$A$5:$A$11,0))</f>
        <v>2</v>
      </c>
      <c r="K12" s="6" t="str">
        <f t="shared" si="1"/>
        <v>On time</v>
      </c>
    </row>
    <row r="13" spans="1:11">
      <c r="A13" s="5">
        <v>46293.4201388889</v>
      </c>
      <c r="B13" s="6" t="s">
        <v>94</v>
      </c>
      <c r="C13" s="6" t="s">
        <v>95</v>
      </c>
      <c r="D13" s="9" t="s">
        <v>7</v>
      </c>
      <c r="E13" s="6" t="s">
        <v>69</v>
      </c>
      <c r="F13" s="6" t="s">
        <v>96</v>
      </c>
      <c r="G13" s="6" t="s">
        <v>12</v>
      </c>
      <c r="H13" s="5">
        <v>46293.4513888889</v>
      </c>
      <c r="I13" s="6">
        <f t="shared" si="0"/>
        <v>0.8</v>
      </c>
      <c r="J13" s="6">
        <f>INDEX('Label System'!$F$5:$F$11,MATCH(D13,'Label System'!$A$5:$A$11,0))</f>
        <v>24</v>
      </c>
      <c r="K13" s="6" t="str">
        <f t="shared" si="1"/>
        <v>On time</v>
      </c>
    </row>
    <row r="14" spans="1:11">
      <c r="A14" s="5">
        <v>46293.4444444445</v>
      </c>
      <c r="B14" s="6" t="s">
        <v>97</v>
      </c>
      <c r="C14" s="6" t="s">
        <v>98</v>
      </c>
      <c r="D14" s="8" t="s">
        <v>11</v>
      </c>
      <c r="E14" s="6" t="s">
        <v>73</v>
      </c>
      <c r="F14" s="6" t="s">
        <v>99</v>
      </c>
      <c r="G14" s="6" t="s">
        <v>12</v>
      </c>
      <c r="H14" s="6"/>
      <c r="I14" s="6" t="str">
        <f t="shared" si="0"/>
        <v/>
      </c>
      <c r="J14" s="6" t="str">
        <f>INDEX('Label System'!$F$5:$F$11,MATCH(D14,'Label System'!$A$5:$A$11,0))</f>
        <v>Process same day</v>
      </c>
      <c r="K14" s="6" t="str">
        <f t="shared" si="1"/>
        <v>-</v>
      </c>
    </row>
    <row r="15" spans="1:11">
      <c r="A15" s="5">
        <v>46293.4652777778</v>
      </c>
      <c r="B15" s="6" t="s">
        <v>100</v>
      </c>
      <c r="C15" s="6" t="s">
        <v>101</v>
      </c>
      <c r="D15" s="11" t="s">
        <v>9</v>
      </c>
      <c r="E15" s="6" t="s">
        <v>73</v>
      </c>
      <c r="F15" s="6" t="s">
        <v>102</v>
      </c>
      <c r="G15" s="6" t="s">
        <v>10</v>
      </c>
      <c r="H15" s="5">
        <v>46293.4791666667</v>
      </c>
      <c r="I15" s="6">
        <f t="shared" si="0"/>
        <v>0.3</v>
      </c>
      <c r="J15" s="6">
        <f>INDEX('Label System'!$F$5:$F$11,MATCH(D15,'Label System'!$A$5:$A$11,0))</f>
        <v>48</v>
      </c>
      <c r="K15" s="6" t="str">
        <f t="shared" si="1"/>
        <v>On time</v>
      </c>
    </row>
    <row r="16" spans="1:11">
      <c r="A16" s="5">
        <v>46293.4895833333</v>
      </c>
      <c r="B16" s="6" t="s">
        <v>103</v>
      </c>
      <c r="C16" s="6" t="s">
        <v>104</v>
      </c>
      <c r="D16" s="10" t="s">
        <v>14</v>
      </c>
      <c r="E16" s="6" t="s">
        <v>80</v>
      </c>
      <c r="F16" s="6" t="s">
        <v>81</v>
      </c>
      <c r="G16" s="6" t="s">
        <v>12</v>
      </c>
      <c r="H16" s="6"/>
      <c r="I16" s="6" t="str">
        <f t="shared" si="0"/>
        <v/>
      </c>
      <c r="J16" s="6" t="str">
        <f>INDEX('Label System'!$F$5:$F$11,MATCH(D16,'Label System'!$A$5:$A$11,0))</f>
        <v>No reply</v>
      </c>
      <c r="K16" s="6" t="str">
        <f t="shared" si="1"/>
        <v>-</v>
      </c>
    </row>
    <row r="17" spans="1:11">
      <c r="A17" s="5">
        <v>46293.5451388889</v>
      </c>
      <c r="B17" s="6" t="s">
        <v>105</v>
      </c>
      <c r="C17" s="6" t="s">
        <v>106</v>
      </c>
      <c r="D17" s="9" t="s">
        <v>7</v>
      </c>
      <c r="E17" s="6" t="s">
        <v>69</v>
      </c>
      <c r="F17" s="6" t="s">
        <v>107</v>
      </c>
      <c r="G17" s="6" t="s">
        <v>10</v>
      </c>
      <c r="H17" s="5">
        <v>46293.6527777778</v>
      </c>
      <c r="I17" s="6">
        <f t="shared" si="0"/>
        <v>2.6</v>
      </c>
      <c r="J17" s="6">
        <f>INDEX('Label System'!$F$5:$F$11,MATCH(D17,'Label System'!$A$5:$A$11,0))</f>
        <v>24</v>
      </c>
      <c r="K17" s="6" t="str">
        <f t="shared" si="1"/>
        <v>On time</v>
      </c>
    </row>
    <row r="18" spans="1:11">
      <c r="A18" s="5">
        <v>46293.5625</v>
      </c>
      <c r="B18" s="6" t="s">
        <v>108</v>
      </c>
      <c r="C18" s="6" t="s">
        <v>109</v>
      </c>
      <c r="D18" s="12" t="s">
        <v>13</v>
      </c>
      <c r="E18" s="6" t="s">
        <v>73</v>
      </c>
      <c r="F18" s="6" t="s">
        <v>110</v>
      </c>
      <c r="G18" s="6" t="s">
        <v>12</v>
      </c>
      <c r="H18" s="5">
        <v>46293.5659722222</v>
      </c>
      <c r="I18" s="6">
        <f t="shared" si="0"/>
        <v>0.1</v>
      </c>
      <c r="J18" s="6">
        <f>INDEX('Label System'!$F$5:$F$11,MATCH(D18,'Label System'!$A$5:$A$11,0))</f>
        <v>24</v>
      </c>
      <c r="K18" s="6" t="str">
        <f t="shared" si="1"/>
        <v>On time</v>
      </c>
    </row>
    <row r="19" spans="1:11">
      <c r="A19" s="5">
        <v>46293.5902777778</v>
      </c>
      <c r="B19" s="6" t="s">
        <v>111</v>
      </c>
      <c r="C19" s="6" t="s">
        <v>112</v>
      </c>
      <c r="D19" s="9" t="s">
        <v>7</v>
      </c>
      <c r="E19" s="6" t="s">
        <v>73</v>
      </c>
      <c r="F19" s="6" t="s">
        <v>113</v>
      </c>
      <c r="G19" s="6" t="s">
        <v>8</v>
      </c>
      <c r="H19" s="6"/>
      <c r="I19" s="6" t="str">
        <f t="shared" si="0"/>
        <v/>
      </c>
      <c r="J19" s="6">
        <f>INDEX('Label System'!$F$5:$F$11,MATCH(D19,'Label System'!$A$5:$A$11,0))</f>
        <v>24</v>
      </c>
      <c r="K19" s="6" t="str">
        <f t="shared" si="1"/>
        <v>-</v>
      </c>
    </row>
    <row r="20" spans="1:11">
      <c r="A20" s="5">
        <v>46293.6145833333</v>
      </c>
      <c r="B20" s="6" t="s">
        <v>114</v>
      </c>
      <c r="C20" s="6" t="s">
        <v>115</v>
      </c>
      <c r="D20" s="11" t="s">
        <v>9</v>
      </c>
      <c r="E20" s="6" t="s">
        <v>80</v>
      </c>
      <c r="F20" s="6" t="s">
        <v>116</v>
      </c>
      <c r="G20" s="6" t="s">
        <v>12</v>
      </c>
      <c r="H20" s="6"/>
      <c r="I20" s="6" t="str">
        <f t="shared" si="0"/>
        <v/>
      </c>
      <c r="J20" s="6">
        <f>INDEX('Label System'!$F$5:$F$11,MATCH(D20,'Label System'!$A$5:$A$11,0))</f>
        <v>48</v>
      </c>
      <c r="K20" s="6" t="str">
        <f t="shared" si="1"/>
        <v>-</v>
      </c>
    </row>
    <row r="21" spans="1:11">
      <c r="A21" s="5">
        <v>46293.6388888889</v>
      </c>
      <c r="B21" s="6" t="s">
        <v>117</v>
      </c>
      <c r="C21" s="6" t="s">
        <v>118</v>
      </c>
      <c r="D21" s="7" t="s">
        <v>5</v>
      </c>
      <c r="E21" s="6" t="s">
        <v>69</v>
      </c>
      <c r="F21" s="6" t="s">
        <v>119</v>
      </c>
      <c r="G21" s="6" t="s">
        <v>12</v>
      </c>
      <c r="H21" s="5">
        <v>46293.7708333333</v>
      </c>
      <c r="I21" s="6">
        <f t="shared" si="0"/>
        <v>3.2</v>
      </c>
      <c r="J21" s="6">
        <f>INDEX('Label System'!$F$5:$F$11,MATCH(D21,'Label System'!$A$5:$A$11,0))</f>
        <v>2</v>
      </c>
      <c r="K21" s="6" t="str">
        <f t="shared" si="1"/>
        <v>Late</v>
      </c>
    </row>
    <row r="22" spans="1:11">
      <c r="A22" s="5">
        <v>46293.6701388889</v>
      </c>
      <c r="B22" s="6" t="s">
        <v>71</v>
      </c>
      <c r="C22" s="6" t="s">
        <v>120</v>
      </c>
      <c r="D22" s="8" t="s">
        <v>11</v>
      </c>
      <c r="E22" s="6" t="s">
        <v>73</v>
      </c>
      <c r="F22" s="6" t="s">
        <v>121</v>
      </c>
      <c r="G22" s="6" t="s">
        <v>6</v>
      </c>
      <c r="H22" s="6"/>
      <c r="I22" s="6" t="str">
        <f t="shared" si="0"/>
        <v/>
      </c>
      <c r="J22" s="6" t="str">
        <f>INDEX('Label System'!$F$5:$F$11,MATCH(D22,'Label System'!$A$5:$A$11,0))</f>
        <v>Process same day</v>
      </c>
      <c r="K22" s="6" t="str">
        <f t="shared" si="1"/>
        <v>-</v>
      </c>
    </row>
    <row r="23" spans="1:11">
      <c r="A23" s="5">
        <v>46293.6875</v>
      </c>
      <c r="B23" s="6" t="s">
        <v>122</v>
      </c>
      <c r="C23" s="6" t="s">
        <v>123</v>
      </c>
      <c r="D23" s="9" t="s">
        <v>7</v>
      </c>
      <c r="E23" s="6" t="s">
        <v>80</v>
      </c>
      <c r="F23" s="6" t="s">
        <v>124</v>
      </c>
      <c r="G23" s="6" t="s">
        <v>12</v>
      </c>
      <c r="H23" s="5">
        <v>46293.6944444445</v>
      </c>
      <c r="I23" s="6">
        <f t="shared" si="0"/>
        <v>0.2</v>
      </c>
      <c r="J23" s="6">
        <f>INDEX('Label System'!$F$5:$F$11,MATCH(D23,'Label System'!$A$5:$A$11,0))</f>
        <v>24</v>
      </c>
      <c r="K23" s="6" t="str">
        <f t="shared" si="1"/>
        <v>On time</v>
      </c>
    </row>
    <row r="24" spans="1:11">
      <c r="A24" s="5">
        <v>46293.7152777778</v>
      </c>
      <c r="B24" s="6" t="s">
        <v>88</v>
      </c>
      <c r="C24" s="6" t="s">
        <v>125</v>
      </c>
      <c r="D24" s="12" t="s">
        <v>13</v>
      </c>
      <c r="E24" s="6" t="s">
        <v>73</v>
      </c>
      <c r="F24" s="6" t="s">
        <v>126</v>
      </c>
      <c r="G24" s="6" t="s">
        <v>8</v>
      </c>
      <c r="H24" s="6"/>
      <c r="I24" s="6" t="str">
        <f t="shared" si="0"/>
        <v/>
      </c>
      <c r="J24" s="6">
        <f>INDEX('Label System'!$F$5:$F$11,MATCH(D24,'Label System'!$A$5:$A$11,0))</f>
        <v>24</v>
      </c>
      <c r="K24" s="6" t="str">
        <f t="shared" si="1"/>
        <v>-</v>
      </c>
    </row>
  </sheetData>
  <conditionalFormatting sqref="G5:G24">
    <cfRule type="expression" dxfId="0" priority="2">
      <formula>$G5&lt;&gt;"Done"</formula>
    </cfRule>
  </conditionalFormatting>
  <conditionalFormatting sqref="K5:K24">
    <cfRule type="expression" dxfId="1" priority="1">
      <formula>$K5="Late"</formula>
    </cfRule>
  </conditionalFormatting>
  <dataValidations count="1">
    <dataValidation type="list" allowBlank="1" sqref="G5:G24">
      <formula1>"Not started,In progress,Waiting,Done"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Label System</vt:lpstr>
      <vt:lpstr>Inbox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7E0F539DC90247C8B3442F8E92BA8C7A_12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