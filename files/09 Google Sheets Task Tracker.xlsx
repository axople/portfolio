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Tracker" sheetId="1" r:id="rId1"/>
    <sheet name="How to Us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<sst xmlns="http://schemas.openxmlformats.org/spreadsheetml/2006/main" count="105" uniqueCount="63">
  <si>
    <t>Client Task Tracker</t>
  </si>
  <si>
    <t>Built to be used in Google Sheets: dropdowns, automatic due-date flags and a live summary  |  Sample data</t>
  </si>
  <si>
    <t>As-of date</t>
  </si>
  <si>
    <t>In Google Sheets, type =TODAY() here so the flags update every day.</t>
  </si>
  <si>
    <t>Task ID</t>
  </si>
  <si>
    <t>Task</t>
  </si>
  <si>
    <t>Client</t>
  </si>
  <si>
    <t>Assigned to</t>
  </si>
  <si>
    <t>Priority</t>
  </si>
  <si>
    <t>Status</t>
  </si>
  <si>
    <t>Start date</t>
  </si>
  <si>
    <t>Due date</t>
  </si>
  <si>
    <t>Days left</t>
  </si>
  <si>
    <t>Flag</t>
  </si>
  <si>
    <t>Notes</t>
  </si>
  <si>
    <t>Summary</t>
  </si>
  <si>
    <t/>
  </si>
  <si>
    <t>T-001</t>
  </si>
  <si>
    <t>Reconcile September bank statement</t>
  </si>
  <si>
    <t>Kape Luntian Cafe</t>
  </si>
  <si>
    <t>Jade</t>
  </si>
  <si>
    <t>High</t>
  </si>
  <si>
    <t>Done</t>
  </si>
  <si>
    <t>Total tasks</t>
  </si>
  <si>
    <t>T-002</t>
  </si>
  <si>
    <t>Send overdue invoice reminders</t>
  </si>
  <si>
    <t>In progress</t>
  </si>
  <si>
    <t>T-003</t>
  </si>
  <si>
    <t>Update product listings for 11.11</t>
  </si>
  <si>
    <t>Tahanan Home Goods</t>
  </si>
  <si>
    <t>Medium</t>
  </si>
  <si>
    <t>Not started</t>
  </si>
  <si>
    <t>T-004</t>
  </si>
  <si>
    <t>Claim unreturned refunds on marketplace</t>
  </si>
  <si>
    <t>Waiting</t>
  </si>
  <si>
    <t>T-005</t>
  </si>
  <si>
    <t>Prepare weekly sales report</t>
  </si>
  <si>
    <t>T-006</t>
  </si>
  <si>
    <t>Book supplier meeting</t>
  </si>
  <si>
    <t>Low</t>
  </si>
  <si>
    <t>Overdue</t>
  </si>
  <si>
    <t>T-007</t>
  </si>
  <si>
    <t>Clean up customer email list</t>
  </si>
  <si>
    <t>Due soon</t>
  </si>
  <si>
    <t>T-008</t>
  </si>
  <si>
    <t>File September receipts</t>
  </si>
  <si>
    <t>% done</t>
  </si>
  <si>
    <t>T-009</t>
  </si>
  <si>
    <t>Draft October content calendar</t>
  </si>
  <si>
    <t>T-010</t>
  </si>
  <si>
    <t>Follow up catering quote with client</t>
  </si>
  <si>
    <t>T-011</t>
  </si>
  <si>
    <t>Update AR aging report</t>
  </si>
  <si>
    <t>T-012</t>
  </si>
  <si>
    <t>Set up calendar reminders for payroll</t>
  </si>
  <si>
    <t>How to Use This Tracker in Google Sheets</t>
  </si>
  <si>
    <t>Steps to open it and keep it updated</t>
  </si>
  <si>
    <t>1. In Google Drive, open Google Sheets, then File &gt; Import &gt; Upload, and pick this file. Choose 'Create new spreadsheet'.</t>
  </si>
  <si>
    <t>2. On the Tracker tab, click cell B4 and type =TODAY() so the flags update by themselves every day.</t>
  </si>
  <si>
    <t>3. Add a task on the next empty row. Pick Priority and Status from the dropdowns.</t>
  </si>
  <si>
    <t>4. Days left and Flag fill in automatically: Overdue is red, Due soon is yellow, Done is green.</t>
  </si>
  <si>
    <t>5. The Summary box on the right counts everything live.</t>
  </si>
  <si>
    <t>6. Share the sheet with the client as 'Viewer' so they can see progress without changing anything.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</si>
</sst>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mm\ d\,\ yyyy"/>
  </numFmts>
  <fonts count="26">
    <font>
      <sz val="11"/>
      <color theme="1"/>
      <name val="Calibri"/>
      <charset val="134"/>
      <scheme val="minor"/>
    </font>
    <font>
      <b/>
      <sz val="16"/>
      <color rgb="FF0F766E"/>
      <name val="Arial"/>
      <charset val="134"/>
    </font>
    <font>
      <i/>
      <sz val="10"/>
      <color rgb="FF595959"/>
      <name val="Arial"/>
      <charset val="134"/>
    </font>
    <font>
      <sz val="11"/>
      <color theme="1"/>
      <name val="Arial"/>
      <charset val="134"/>
    </font>
    <font>
      <b/>
      <sz val="10"/>
      <name val="Arial"/>
      <charset val="134"/>
    </font>
    <font>
      <b/>
      <sz val="10"/>
      <color rgb="FFFFFFFF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D5F0E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78" fontId="3" fillId="2" borderId="1" xfId="0" applyNumberFormat="1" applyFont="1" applyFill="1" applyBorder="1"/>
    <xf numFmtId="0" fontId="5" fillId="3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178" fontId="3" fillId="0" borderId="1" xfId="0" applyNumberFormat="1" applyFont="1" applyBorder="1"/>
    <xf numFmtId="0" fontId="3" fillId="4" borderId="1" xfId="0" applyFont="1" applyFill="1" applyBorder="1"/>
    <xf numFmtId="0" fontId="4" fillId="4" borderId="1" xfId="0" applyFont="1" applyFill="1" applyBorder="1"/>
    <xf numFmtId="9" fontId="4" fillId="4" borderId="1" xfId="0" applyNumberFormat="1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">
    <dxf>
      <font>
        <b val="1"/>
        <color rgb="FFC00000"/>
      </font>
    </dxf>
    <dxf>
      <font>
        <b val="1"/>
        <color rgb="FF9C0006"/>
      </font>
      <fill>
        <patternFill patternType="solid">
          <fgColor rgb="FFF8CBAD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tabSelected="1" workbookViewId="0">
      <pane xSplit="2" ySplit="7" topLeftCell="C8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5"/>
  <cols>
    <col min="1" max="1" width="11" customWidth="1"/>
    <col min="2" max="2" width="42" customWidth="1"/>
    <col min="3" max="3" width="22" customWidth="1"/>
    <col min="4" max="4" width="11" customWidth="1"/>
    <col min="5" max="5" width="9" customWidth="1"/>
    <col min="6" max="6" width="12" customWidth="1"/>
    <col min="7" max="8" width="13" customWidth="1"/>
    <col min="9" max="9" width="9" customWidth="1"/>
    <col min="10" max="10" width="11" customWidth="1"/>
    <col min="11" max="11" width="20" customWidth="1"/>
    <col min="12" max="12" width="3" customWidth="1"/>
    <col min="13" max="13" width="14" customWidth="1"/>
    <col min="14" max="14" width="8" customWidth="1"/>
  </cols>
  <sheetData>
    <row r="1" ht="20.25" spans="1:14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>
      <c r="A4" s="4" t="s">
        <v>2</v>
      </c>
      <c r="B4" s="5">
        <v>46296</v>
      </c>
      <c r="C4" s="2" t="s">
        <v>3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ht="30" customHeight="1" spans="1:14">
      <c r="A7" s="6" t="s">
        <v>4</v>
      </c>
      <c r="B7" s="6" t="s">
        <v>5</v>
      </c>
      <c r="C7" s="6" t="s">
        <v>6</v>
      </c>
      <c r="D7" s="6" t="s">
        <v>7</v>
      </c>
      <c r="E7" s="6" t="s">
        <v>8</v>
      </c>
      <c r="F7" s="6" t="s">
        <v>9</v>
      </c>
      <c r="G7" s="6" t="s">
        <v>10</v>
      </c>
      <c r="H7" s="6" t="s">
        <v>11</v>
      </c>
      <c r="I7" s="6" t="s">
        <v>12</v>
      </c>
      <c r="J7" s="6" t="s">
        <v>13</v>
      </c>
      <c r="K7" s="6" t="s">
        <v>14</v>
      </c>
      <c r="L7" s="3"/>
      <c r="M7" s="6" t="s">
        <v>15</v>
      </c>
      <c r="N7" s="6" t="s">
        <v>16</v>
      </c>
    </row>
    <row r="8" spans="1:14">
      <c r="A8" s="7" t="s">
        <v>17</v>
      </c>
      <c r="B8" s="7" t="s">
        <v>18</v>
      </c>
      <c r="C8" s="7" t="s">
        <v>19</v>
      </c>
      <c r="D8" s="7" t="s">
        <v>20</v>
      </c>
      <c r="E8" s="7" t="s">
        <v>21</v>
      </c>
      <c r="F8" s="7" t="s">
        <v>22</v>
      </c>
      <c r="G8" s="8">
        <v>46290</v>
      </c>
      <c r="H8" s="8">
        <v>46295</v>
      </c>
      <c r="I8" s="7" t="str">
        <f t="shared" ref="I8:I19" si="0">IF(F8="Done","",H8-$B$4)</f>
        <v/>
      </c>
      <c r="J8" s="7" t="str">
        <f t="shared" ref="J8:J19" si="1">IF(F8="Done","Done",IF(H8&lt;$B$4,"Overdue",IF(H8-$B$4&lt;=2,"Due soon","On track")))</f>
        <v>Done</v>
      </c>
      <c r="K8" s="7"/>
      <c r="L8" s="3"/>
      <c r="M8" s="9" t="s">
        <v>23</v>
      </c>
      <c r="N8" s="10">
        <f>COUNTA(A8:A19)</f>
        <v>12</v>
      </c>
    </row>
    <row r="9" spans="1:14">
      <c r="A9" s="7" t="s">
        <v>24</v>
      </c>
      <c r="B9" s="7" t="s">
        <v>25</v>
      </c>
      <c r="C9" s="7" t="s">
        <v>19</v>
      </c>
      <c r="D9" s="7" t="s">
        <v>20</v>
      </c>
      <c r="E9" s="7" t="s">
        <v>21</v>
      </c>
      <c r="F9" s="7" t="s">
        <v>26</v>
      </c>
      <c r="G9" s="8">
        <v>46293</v>
      </c>
      <c r="H9" s="8">
        <v>46296</v>
      </c>
      <c r="I9" s="7">
        <f t="shared" si="0"/>
        <v>0</v>
      </c>
      <c r="J9" s="7" t="str">
        <f t="shared" si="1"/>
        <v>Due soon</v>
      </c>
      <c r="K9" s="7"/>
      <c r="L9" s="3"/>
      <c r="M9" s="9" t="s">
        <v>22</v>
      </c>
      <c r="N9" s="10">
        <f>COUNTIF(F8:F19,"Done")</f>
        <v>4</v>
      </c>
    </row>
    <row r="10" spans="1:14">
      <c r="A10" s="7" t="s">
        <v>27</v>
      </c>
      <c r="B10" s="7" t="s">
        <v>28</v>
      </c>
      <c r="C10" s="7" t="s">
        <v>29</v>
      </c>
      <c r="D10" s="7" t="s">
        <v>20</v>
      </c>
      <c r="E10" s="7" t="s">
        <v>30</v>
      </c>
      <c r="F10" s="7" t="s">
        <v>31</v>
      </c>
      <c r="G10" s="8">
        <v>46296</v>
      </c>
      <c r="H10" s="8">
        <v>46303</v>
      </c>
      <c r="I10" s="7">
        <f t="shared" si="0"/>
        <v>7</v>
      </c>
      <c r="J10" s="7" t="str">
        <f t="shared" si="1"/>
        <v>On track</v>
      </c>
      <c r="K10" s="7"/>
      <c r="L10" s="3"/>
      <c r="M10" s="9" t="s">
        <v>26</v>
      </c>
      <c r="N10" s="10">
        <f>COUNTIF(F8:F19,"In progress")</f>
        <v>2</v>
      </c>
    </row>
    <row r="11" spans="1:14">
      <c r="A11" s="7" t="s">
        <v>32</v>
      </c>
      <c r="B11" s="7" t="s">
        <v>33</v>
      </c>
      <c r="C11" s="7" t="s">
        <v>29</v>
      </c>
      <c r="D11" s="7" t="s">
        <v>20</v>
      </c>
      <c r="E11" s="7" t="s">
        <v>21</v>
      </c>
      <c r="F11" s="7" t="s">
        <v>34</v>
      </c>
      <c r="G11" s="8">
        <v>46287</v>
      </c>
      <c r="H11" s="8">
        <v>46294</v>
      </c>
      <c r="I11" s="7">
        <f t="shared" si="0"/>
        <v>-2</v>
      </c>
      <c r="J11" s="7" t="str">
        <f t="shared" si="1"/>
        <v>Overdue</v>
      </c>
      <c r="K11" s="7"/>
      <c r="L11" s="3"/>
      <c r="M11" s="9" t="s">
        <v>34</v>
      </c>
      <c r="N11" s="10">
        <f>COUNTIF(F8:F19,"Waiting")</f>
        <v>2</v>
      </c>
    </row>
    <row r="12" spans="1:14">
      <c r="A12" s="7" t="s">
        <v>35</v>
      </c>
      <c r="B12" s="7" t="s">
        <v>36</v>
      </c>
      <c r="C12" s="7" t="s">
        <v>29</v>
      </c>
      <c r="D12" s="7" t="s">
        <v>20</v>
      </c>
      <c r="E12" s="7" t="s">
        <v>30</v>
      </c>
      <c r="F12" s="7" t="s">
        <v>22</v>
      </c>
      <c r="G12" s="8">
        <v>46293</v>
      </c>
      <c r="H12" s="8">
        <v>46294</v>
      </c>
      <c r="I12" s="7" t="str">
        <f t="shared" si="0"/>
        <v/>
      </c>
      <c r="J12" s="7" t="str">
        <f t="shared" si="1"/>
        <v>Done</v>
      </c>
      <c r="K12" s="7"/>
      <c r="L12" s="3"/>
      <c r="M12" s="9" t="s">
        <v>31</v>
      </c>
      <c r="N12" s="10">
        <f>COUNTIF(F8:F19,"Not started")</f>
        <v>4</v>
      </c>
    </row>
    <row r="13" spans="1:14">
      <c r="A13" s="7" t="s">
        <v>37</v>
      </c>
      <c r="B13" s="7" t="s">
        <v>38</v>
      </c>
      <c r="C13" s="7" t="s">
        <v>29</v>
      </c>
      <c r="D13" s="7" t="s">
        <v>20</v>
      </c>
      <c r="E13" s="7" t="s">
        <v>39</v>
      </c>
      <c r="F13" s="7" t="s">
        <v>22</v>
      </c>
      <c r="G13" s="8">
        <v>46294</v>
      </c>
      <c r="H13" s="8">
        <v>46295</v>
      </c>
      <c r="I13" s="7" t="str">
        <f t="shared" si="0"/>
        <v/>
      </c>
      <c r="J13" s="7" t="str">
        <f t="shared" si="1"/>
        <v>Done</v>
      </c>
      <c r="K13" s="7"/>
      <c r="L13" s="3"/>
      <c r="M13" s="9" t="s">
        <v>40</v>
      </c>
      <c r="N13" s="10">
        <f>COUNTIF(J8:J19,"Overdue")</f>
        <v>2</v>
      </c>
    </row>
    <row r="14" spans="1:14">
      <c r="A14" s="7" t="s">
        <v>41</v>
      </c>
      <c r="B14" s="7" t="s">
        <v>42</v>
      </c>
      <c r="C14" s="7" t="s">
        <v>29</v>
      </c>
      <c r="D14" s="7" t="s">
        <v>20</v>
      </c>
      <c r="E14" s="7" t="s">
        <v>30</v>
      </c>
      <c r="F14" s="7" t="s">
        <v>26</v>
      </c>
      <c r="G14" s="8">
        <v>46294</v>
      </c>
      <c r="H14" s="8">
        <v>46297</v>
      </c>
      <c r="I14" s="7">
        <f t="shared" si="0"/>
        <v>1</v>
      </c>
      <c r="J14" s="7" t="str">
        <f t="shared" si="1"/>
        <v>Due soon</v>
      </c>
      <c r="K14" s="7"/>
      <c r="L14" s="3"/>
      <c r="M14" s="9" t="s">
        <v>43</v>
      </c>
      <c r="N14" s="10">
        <f>COUNTIF(J8:J19,"Due soon")</f>
        <v>4</v>
      </c>
    </row>
    <row r="15" spans="1:14">
      <c r="A15" s="7" t="s">
        <v>44</v>
      </c>
      <c r="B15" s="7" t="s">
        <v>45</v>
      </c>
      <c r="C15" s="7" t="s">
        <v>19</v>
      </c>
      <c r="D15" s="7" t="s">
        <v>20</v>
      </c>
      <c r="E15" s="7" t="s">
        <v>39</v>
      </c>
      <c r="F15" s="7" t="s">
        <v>31</v>
      </c>
      <c r="G15" s="8">
        <v>46296</v>
      </c>
      <c r="H15" s="8">
        <v>46298</v>
      </c>
      <c r="I15" s="7">
        <f t="shared" si="0"/>
        <v>2</v>
      </c>
      <c r="J15" s="7" t="str">
        <f t="shared" si="1"/>
        <v>Due soon</v>
      </c>
      <c r="K15" s="7"/>
      <c r="L15" s="3"/>
      <c r="M15" s="9" t="s">
        <v>46</v>
      </c>
      <c r="N15" s="11">
        <f>N9/N8</f>
        <v>0.333333333333333</v>
      </c>
    </row>
    <row r="16" spans="1:14">
      <c r="A16" s="7" t="s">
        <v>47</v>
      </c>
      <c r="B16" s="7" t="s">
        <v>48</v>
      </c>
      <c r="C16" s="7" t="s">
        <v>29</v>
      </c>
      <c r="D16" s="7" t="s">
        <v>20</v>
      </c>
      <c r="E16" s="7" t="s">
        <v>30</v>
      </c>
      <c r="F16" s="7" t="s">
        <v>31</v>
      </c>
      <c r="G16" s="8">
        <v>46296</v>
      </c>
      <c r="H16" s="8">
        <v>46305</v>
      </c>
      <c r="I16" s="7">
        <f t="shared" si="0"/>
        <v>9</v>
      </c>
      <c r="J16" s="7" t="str">
        <f t="shared" si="1"/>
        <v>On track</v>
      </c>
      <c r="K16" s="7"/>
      <c r="L16" s="3"/>
      <c r="M16" s="3"/>
      <c r="N16" s="3"/>
    </row>
    <row r="17" spans="1:14">
      <c r="A17" s="7" t="s">
        <v>49</v>
      </c>
      <c r="B17" s="7" t="s">
        <v>50</v>
      </c>
      <c r="C17" s="7" t="s">
        <v>19</v>
      </c>
      <c r="D17" s="7" t="s">
        <v>20</v>
      </c>
      <c r="E17" s="7" t="s">
        <v>21</v>
      </c>
      <c r="F17" s="7" t="s">
        <v>34</v>
      </c>
      <c r="G17" s="8">
        <v>46293</v>
      </c>
      <c r="H17" s="8">
        <v>46295</v>
      </c>
      <c r="I17" s="7">
        <f t="shared" si="0"/>
        <v>-1</v>
      </c>
      <c r="J17" s="7" t="str">
        <f t="shared" si="1"/>
        <v>Overdue</v>
      </c>
      <c r="K17" s="7"/>
      <c r="L17" s="3"/>
      <c r="M17" s="3"/>
      <c r="N17" s="3"/>
    </row>
    <row r="18" spans="1:14">
      <c r="A18" s="7" t="s">
        <v>51</v>
      </c>
      <c r="B18" s="7" t="s">
        <v>52</v>
      </c>
      <c r="C18" s="7" t="s">
        <v>19</v>
      </c>
      <c r="D18" s="7" t="s">
        <v>20</v>
      </c>
      <c r="E18" s="7" t="s">
        <v>30</v>
      </c>
      <c r="F18" s="7" t="s">
        <v>31</v>
      </c>
      <c r="G18" s="8">
        <v>46296</v>
      </c>
      <c r="H18" s="8">
        <v>46297</v>
      </c>
      <c r="I18" s="7">
        <f t="shared" si="0"/>
        <v>1</v>
      </c>
      <c r="J18" s="7" t="str">
        <f t="shared" si="1"/>
        <v>Due soon</v>
      </c>
      <c r="K18" s="7"/>
      <c r="L18" s="3"/>
      <c r="M18" s="3"/>
      <c r="N18" s="3"/>
    </row>
    <row r="19" spans="1:14">
      <c r="A19" s="7" t="s">
        <v>53</v>
      </c>
      <c r="B19" s="7" t="s">
        <v>54</v>
      </c>
      <c r="C19" s="7" t="s">
        <v>19</v>
      </c>
      <c r="D19" s="7" t="s">
        <v>20</v>
      </c>
      <c r="E19" s="7" t="s">
        <v>39</v>
      </c>
      <c r="F19" s="7" t="s">
        <v>22</v>
      </c>
      <c r="G19" s="8">
        <v>46291</v>
      </c>
      <c r="H19" s="8">
        <v>46292</v>
      </c>
      <c r="I19" s="7" t="str">
        <f t="shared" si="0"/>
        <v/>
      </c>
      <c r="J19" s="7" t="str">
        <f t="shared" si="1"/>
        <v>Done</v>
      </c>
      <c r="K19" s="7"/>
      <c r="L19" s="3"/>
      <c r="M19" s="3"/>
      <c r="N19" s="3"/>
    </row>
  </sheetData>
  <conditionalFormatting sqref="E8:E19">
    <cfRule type="expression" dxfId="0" priority="4">
      <formula>$E8="High"</formula>
    </cfRule>
  </conditionalFormatting>
  <conditionalFormatting sqref="J8:J19">
    <cfRule type="expression" dxfId="1" priority="1">
      <formula>$J8="Overdue"</formula>
    </cfRule>
    <cfRule type="expression" dxfId="2" priority="2">
      <formula>$J8="Due soon"</formula>
    </cfRule>
    <cfRule type="expression" dxfId="3" priority="3">
      <formula>$J8="Done"</formula>
    </cfRule>
  </conditionalFormatting>
  <dataValidations count="2">
    <dataValidation type="list" allowBlank="1" sqref="E8:E200">
      <formula1>"High,Medium,Low"</formula1>
    </dataValidation>
    <dataValidation type="list" allowBlank="1" sqref="F8:F200">
      <formula1>"Not started,In progress,Waiting,Done"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workbookViewId="0">
      <selection activeCell="A1" sqref="A1"/>
    </sheetView>
  </sheetViews>
  <sheetFormatPr defaultColWidth="9" defaultRowHeight="15"/>
  <cols>
    <col min="1" max="1" width="120" customWidth="1"/>
  </cols>
  <sheetData>
    <row r="1" ht="20.25" spans="1:1">
      <c r="A1" s="1" t="s">
        <v>55</v>
      </c>
    </row>
    <row r="2" spans="1:1">
      <c r="A2" s="2" t="s">
        <v>56</v>
      </c>
    </row>
    <row r="3" spans="1:1">
      <c r="A3" s="3"/>
    </row>
    <row r="4" spans="1:1">
      <c r="A4" s="3" t="s">
        <v>57</v>
      </c>
    </row>
    <row r="5" spans="1:1">
      <c r="A5" s="3" t="s">
        <v>58</v>
      </c>
    </row>
    <row r="6" spans="1:1">
      <c r="A6" s="3" t="s">
        <v>59</v>
      </c>
    </row>
    <row r="7" spans="1:1">
      <c r="A7" s="3" t="s">
        <v>60</v>
      </c>
    </row>
    <row r="8" spans="1:1">
      <c r="A8" s="3" t="s">
        <v>61</v>
      </c>
    </row>
    <row r="9" spans="1:1">
      <c r="A9" s="3" t="s">
        <v>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Tracker</vt:lpstr>
      <vt:lpstr>How to Use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Marquez Jade Kendra</cp:lastModifiedBy>
  <dcterms:created xsi:type="dcterms:W3CDTF">2026-09-28T09:32:00Z</dcterms:created>
  <dcterms:modified xsi:type="dcterms:W3CDTF">2026-09-28T09:32:43Z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0BDBF5B90D2C4AC597F22D8620B2A40C_12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