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Dashboard" sheetId="1" r:id="rId1"/>
    <sheet name="Sales Data" sheetId="2" r:id="rId2"/>
  </sheets>
  <definedNames>
    <definedName name="_xlnm._FilterDatabase" localSheetId="1" hidden="1">'Sales Data'!$A$4:$F$184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<sst xmlns="http://schemas.openxmlformats.org/spreadsheetml/2006/main" count="396" uniqueCount="26">
  <si>
    <t>Tahanan Home Goods - Sales Dashboard</t>
  </si>
  <si>
    <t>Oct 2025 to Sep 2026  |  All numbers calculate from the Sales Data tab  |  Sample data, fictional shop</t>
  </si>
  <si>
    <t>Total revenue</t>
  </si>
  <si>
    <t>Total units sold</t>
  </si>
  <si>
    <t>Average monthly revenue</t>
  </si>
  <si>
    <t>Best month</t>
  </si>
  <si>
    <t>Top product</t>
  </si>
  <si>
    <t>Month</t>
  </si>
  <si>
    <t>Revenue</t>
  </si>
  <si>
    <t>Units</t>
  </si>
  <si>
    <t>Growth vs last month</t>
  </si>
  <si>
    <t>Product</t>
  </si>
  <si>
    <t>Share %</t>
  </si>
  <si>
    <t/>
  </si>
  <si>
    <t>Stainless Door Pull 12in</t>
  </si>
  <si>
    <t>Cabinet Handle Set (10 pcs)</t>
  </si>
  <si>
    <t>Shower Door Handle</t>
  </si>
  <si>
    <t>Barn Door Hardware Kit</t>
  </si>
  <si>
    <t>Gate Latch</t>
  </si>
  <si>
    <t>Channel</t>
  </si>
  <si>
    <t>Shopee</t>
  </si>
  <si>
    <t>Lazada</t>
  </si>
  <si>
    <t>Website</t>
  </si>
  <si>
    <t>Tahanan Home Goods - Sales Data</t>
  </si>
  <si>
    <t>Monthly units by product and channel, Oct 2025 to Sep 2026  |  Sample data, fictional shop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</si>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</sst>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yyyy"/>
    <numFmt numFmtId="179" formatCode="&quot;PHP &quot;#,##0"/>
    <numFmt numFmtId="180" formatCode="0.0%"/>
  </numFmts>
  <fonts count="27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0"/>
      <color rgb="FF595959"/>
      <name val="Arial"/>
      <charset val="134"/>
    </font>
    <font>
      <b/>
      <sz val="13"/>
      <color rgb="FF0F766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178" fontId="2" fillId="0" borderId="0" xfId="0" applyNumberFormat="1" applyFont="1"/>
    <xf numFmtId="179" fontId="2" fillId="0" borderId="0" xfId="0" applyNumberFormat="1" applyFont="1"/>
    <xf numFmtId="0" fontId="5" fillId="3" borderId="0" xfId="0" applyFont="1" applyFill="1"/>
    <xf numFmtId="179" fontId="6" fillId="3" borderId="0" xfId="0" applyNumberFormat="1" applyFont="1" applyFill="1"/>
    <xf numFmtId="3" fontId="6" fillId="3" borderId="0" xfId="0" applyNumberFormat="1" applyFont="1" applyFill="1"/>
    <xf numFmtId="178" fontId="6" fillId="3" borderId="0" xfId="0" applyNumberFormat="1" applyFont="1" applyFill="1"/>
    <xf numFmtId="49" fontId="6" fillId="3" borderId="0" xfId="0" applyNumberFormat="1" applyFont="1" applyFill="1"/>
    <xf numFmtId="178" fontId="2" fillId="0" borderId="1" xfId="0" applyNumberFormat="1" applyFont="1" applyBorder="1"/>
    <xf numFmtId="179" fontId="2" fillId="0" borderId="1" xfId="0" applyNumberFormat="1" applyFont="1" applyBorder="1"/>
    <xf numFmtId="3" fontId="2" fillId="0" borderId="1" xfId="0" applyNumberFormat="1" applyFont="1" applyBorder="1"/>
    <xf numFmtId="180" fontId="2" fillId="0" borderId="1" xfId="0" applyNumberFormat="1" applyFont="1" applyBorder="1"/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revenue (PHP, thousands)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Dashboard!$A$9:$A$20</c:f>
              <c:numCache>
                <c:formatCode>mmm\ yyyy</c:formatCode>
                <c:ptCount val="12"/>
                <c:pt idx="0" c:formatCode="mmm\ yyyy">
                  <c:v>45931</c:v>
                </c:pt>
                <c:pt idx="1" c:formatCode="mmm\ yyyy">
                  <c:v>45962</c:v>
                </c:pt>
                <c:pt idx="2" c:formatCode="mmm\ yyyy">
                  <c:v>45992</c:v>
                </c:pt>
                <c:pt idx="3" c:formatCode="mmm\ yyyy">
                  <c:v>46023</c:v>
                </c:pt>
                <c:pt idx="4" c:formatCode="mmm\ yyyy">
                  <c:v>46054</c:v>
                </c:pt>
                <c:pt idx="5" c:formatCode="mmm\ yyyy">
                  <c:v>46082</c:v>
                </c:pt>
                <c:pt idx="6" c:formatCode="mmm\ yyyy">
                  <c:v>46113</c:v>
                </c:pt>
                <c:pt idx="7" c:formatCode="mmm\ yyyy">
                  <c:v>46143</c:v>
                </c:pt>
                <c:pt idx="8" c:formatCode="mmm\ yyyy">
                  <c:v>46174</c:v>
                </c:pt>
                <c:pt idx="9" c:formatCode="mmm\ yyyy">
                  <c:v>46204</c:v>
                </c:pt>
                <c:pt idx="10" c:formatCode="mmm\ yyyy">
                  <c:v>46235</c:v>
                </c:pt>
                <c:pt idx="11" c:formatCode="mmm\ yyyy">
                  <c:v>46266</c:v>
                </c:pt>
              </c:numCache>
            </c:numRef>
          </c:cat>
          <c:val>
            <c:numRef>
              <c:f>Dashboard!$B$9:$B$20</c:f>
              <c:numCache>
                <c:formatCode>"PHP "#,##0</c:formatCode>
                <c:ptCount val="12"/>
                <c:pt idx="0">
                  <c:v>548550</c:v>
                </c:pt>
                <c:pt idx="1">
                  <c:v>679260</c:v>
                </c:pt>
                <c:pt idx="2">
                  <c:v>922550</c:v>
                </c:pt>
                <c:pt idx="3">
                  <c:v>524640</c:v>
                </c:pt>
                <c:pt idx="4">
                  <c:v>571650</c:v>
                </c:pt>
                <c:pt idx="5">
                  <c:v>586290</c:v>
                </c:pt>
                <c:pt idx="6">
                  <c:v>660770</c:v>
                </c:pt>
                <c:pt idx="7">
                  <c:v>721420</c:v>
                </c:pt>
                <c:pt idx="8">
                  <c:v>596250</c:v>
                </c:pt>
                <c:pt idx="9">
                  <c:v>610870</c:v>
                </c:pt>
                <c:pt idx="10">
                  <c:v>676640</c:v>
                </c:pt>
                <c:pt idx="11">
                  <c:v>778140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c7b349b-2e61-4d9f-b752-28727fa25f7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product (PHP, thousands)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Dashboard!$G$8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Dashboard!$F$9:$F$13</c:f>
              <c:strCache>
                <c:ptCount val="5"/>
                <c:pt idx="0">
                  <c:v>Stainless Door Pull 12in</c:v>
                </c:pt>
                <c:pt idx="1">
                  <c:v>Cabinet Handle Set (10 pcs)</c:v>
                </c:pt>
                <c:pt idx="2">
                  <c:v>Shower Door Handle</c:v>
                </c:pt>
                <c:pt idx="3">
                  <c:v>Barn Door Hardware Kit</c:v>
                </c:pt>
                <c:pt idx="4">
                  <c:v>Gate Latch</c:v>
                </c:pt>
              </c:strCache>
            </c:strRef>
          </c:cat>
          <c:val>
            <c:numRef>
              <c:f>Dashboard!$G$9:$G$13</c:f>
              <c:numCache>
                <c:formatCode>"PHP "#,##0</c:formatCode>
                <c:ptCount val="5"/>
                <c:pt idx="0">
                  <c:v>1963750</c:v>
                </c:pt>
                <c:pt idx="1">
                  <c:v>1932190</c:v>
                </c:pt>
                <c:pt idx="2">
                  <c:v>1315050</c:v>
                </c:pt>
                <c:pt idx="3">
                  <c:v>1323000</c:v>
                </c:pt>
                <c:pt idx="4">
                  <c:v>1343040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#,##0,&quot;K&quot;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a5b0270-81f5-4a33-983d-00ace03dcde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22</xdr:row>
      <xdr:rowOff>0</xdr:rowOff>
    </xdr:from>
    <xdr:ext cx="5760000" cy="2700000"/>
    <xdr:graphicFrame>
      <xdr:nvGraphicFramePr>
        <xdr:cNvPr id="2" name="Chart 1"/>
        <xdr:cNvGraphicFramePr/>
      </xdr:nvGraphicFramePr>
      <xdr:xfrm>
        <a:off x="0" y="4276725"/>
        <a:ext cx="5759450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22</xdr:row>
      <xdr:rowOff>0</xdr:rowOff>
    </xdr:from>
    <xdr:ext cx="5760000" cy="2700000"/>
    <xdr:graphicFrame>
      <xdr:nvGraphicFramePr>
        <xdr:cNvPr id="3" name="Chart 2"/>
        <xdr:cNvGraphicFramePr/>
      </xdr:nvGraphicFramePr>
      <xdr:xfrm>
        <a:off x="7400925" y="4276725"/>
        <a:ext cx="5759450" cy="2699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1" sqref="A1"/>
    </sheetView>
  </sheetViews>
  <sheetFormatPr defaultColWidth="9" defaultRowHeight="15"/>
  <cols>
    <col min="1" max="1" width="22" customWidth="1"/>
    <col min="2" max="2" width="18" customWidth="1"/>
    <col min="3" max="3" width="27" customWidth="1"/>
    <col min="4" max="4" width="20" customWidth="1"/>
    <col min="5" max="5" width="24" customWidth="1"/>
    <col min="6" max="6" width="28" customWidth="1"/>
    <col min="7" max="7" width="16" customWidth="1"/>
    <col min="8" max="8" width="10" customWidth="1"/>
    <col min="9" max="9" width="12" customWidth="1"/>
  </cols>
  <sheetData>
    <row r="1" ht="20.25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2"/>
      <c r="G4" s="2"/>
      <c r="H4" s="2"/>
      <c r="I4" s="2"/>
    </row>
    <row r="5" ht="16.5" spans="1:9">
      <c r="A5" s="8">
        <f>SUM('Sales Data'!$F$5:$F$184)</f>
        <v>7877030</v>
      </c>
      <c r="B5" s="9">
        <f>SUM('Sales Data'!$D$5:$D$184)</f>
        <v>7652</v>
      </c>
      <c r="C5" s="8">
        <f>A5/12</f>
        <v>656419.166666667</v>
      </c>
      <c r="D5" s="10">
        <f>INDEX(A9:A20,MATCH(MAX(B9:B20),B9:B20,0))</f>
        <v>45992</v>
      </c>
      <c r="E5" s="11" t="str">
        <f>INDEX(F9:F13,MATCH(MAX(G9:G13),G9:G13,0))</f>
        <v>Stainless Door Pull 12in</v>
      </c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4" t="s">
        <v>7</v>
      </c>
      <c r="B8" s="4" t="s">
        <v>8</v>
      </c>
      <c r="C8" s="4" t="s">
        <v>9</v>
      </c>
      <c r="D8" s="4" t="s">
        <v>10</v>
      </c>
      <c r="E8" s="2"/>
      <c r="F8" s="4" t="s">
        <v>11</v>
      </c>
      <c r="G8" s="4" t="s">
        <v>8</v>
      </c>
      <c r="H8" s="4" t="s">
        <v>9</v>
      </c>
      <c r="I8" s="4" t="s">
        <v>12</v>
      </c>
    </row>
    <row r="9" spans="1:9">
      <c r="A9" s="12">
        <v>45931</v>
      </c>
      <c r="B9" s="13">
        <f>SUMIFS('Sales Data'!$F$5:$F$184,'Sales Data'!$A$5:$A$184,$A9)</f>
        <v>548550</v>
      </c>
      <c r="C9" s="14">
        <f>SUMIFS('Sales Data'!$D$5:$D$184,'Sales Data'!$A$5:$A$184,$A9)</f>
        <v>540</v>
      </c>
      <c r="D9" s="15" t="s">
        <v>13</v>
      </c>
      <c r="E9" s="2"/>
      <c r="F9" s="16" t="s">
        <v>14</v>
      </c>
      <c r="G9" s="13">
        <f>SUMIFS('Sales Data'!$F$5:$F$184,'Sales Data'!$C$5:$C$184,$F9)</f>
        <v>1963750</v>
      </c>
      <c r="H9" s="14">
        <f>SUMIFS('Sales Data'!$D$5:$D$184,'Sales Data'!$C$5:$C$184,$F9)</f>
        <v>1571</v>
      </c>
      <c r="I9" s="15">
        <f>G9/$A$5</f>
        <v>0.249300815154951</v>
      </c>
    </row>
    <row r="10" spans="1:9">
      <c r="A10" s="12">
        <v>45962</v>
      </c>
      <c r="B10" s="13">
        <f>SUMIFS('Sales Data'!$F$5:$F$184,'Sales Data'!$A$5:$A$184,$A10)</f>
        <v>679260</v>
      </c>
      <c r="C10" s="14">
        <f>SUMIFS('Sales Data'!$D$5:$D$184,'Sales Data'!$A$5:$A$184,$A10)</f>
        <v>657</v>
      </c>
      <c r="D10" s="15">
        <f t="shared" ref="D10:D20" si="0">IF(B9=0,"",B10/B9-1)</f>
        <v>0.238282745419743</v>
      </c>
      <c r="E10" s="2"/>
      <c r="F10" s="16" t="s">
        <v>15</v>
      </c>
      <c r="G10" s="13">
        <f>SUMIFS('Sales Data'!$F$5:$F$184,'Sales Data'!$C$5:$C$184,$F10)</f>
        <v>1932190</v>
      </c>
      <c r="H10" s="14">
        <f>SUMIFS('Sales Data'!$D$5:$D$184,'Sales Data'!$C$5:$C$184,$F10)</f>
        <v>2171</v>
      </c>
      <c r="I10" s="15">
        <f>G10/$A$5</f>
        <v>0.245294228916229</v>
      </c>
    </row>
    <row r="11" spans="1:9">
      <c r="A11" s="12">
        <v>45992</v>
      </c>
      <c r="B11" s="13">
        <f>SUMIFS('Sales Data'!$F$5:$F$184,'Sales Data'!$A$5:$A$184,$A11)</f>
        <v>922550</v>
      </c>
      <c r="C11" s="14">
        <f>SUMIFS('Sales Data'!$D$5:$D$184,'Sales Data'!$A$5:$A$184,$A11)</f>
        <v>897</v>
      </c>
      <c r="D11" s="15">
        <f t="shared" si="0"/>
        <v>0.358169184112122</v>
      </c>
      <c r="E11" s="2"/>
      <c r="F11" s="16" t="s">
        <v>16</v>
      </c>
      <c r="G11" s="13">
        <f>SUMIFS('Sales Data'!$F$5:$F$184,'Sales Data'!$C$5:$C$184,$F11)</f>
        <v>1315050</v>
      </c>
      <c r="H11" s="14">
        <f>SUMIFS('Sales Data'!$D$5:$D$184,'Sales Data'!$C$5:$C$184,$F11)</f>
        <v>797</v>
      </c>
      <c r="I11" s="15">
        <f>G11/$A$5</f>
        <v>0.166947440850168</v>
      </c>
    </row>
    <row r="12" spans="1:9">
      <c r="A12" s="12">
        <v>46023</v>
      </c>
      <c r="B12" s="13">
        <f>SUMIFS('Sales Data'!$F$5:$F$184,'Sales Data'!$A$5:$A$184,$A12)</f>
        <v>524640</v>
      </c>
      <c r="C12" s="14">
        <f>SUMIFS('Sales Data'!$D$5:$D$184,'Sales Data'!$A$5:$A$184,$A12)</f>
        <v>499</v>
      </c>
      <c r="D12" s="15">
        <f t="shared" si="0"/>
        <v>-0.431315375860387</v>
      </c>
      <c r="E12" s="2"/>
      <c r="F12" s="16" t="s">
        <v>17</v>
      </c>
      <c r="G12" s="13">
        <f>SUMIFS('Sales Data'!$F$5:$F$184,'Sales Data'!$C$5:$C$184,$F12)</f>
        <v>1323000</v>
      </c>
      <c r="H12" s="14">
        <f>SUMIFS('Sales Data'!$D$5:$D$184,'Sales Data'!$C$5:$C$184,$F12)</f>
        <v>315</v>
      </c>
      <c r="I12" s="15">
        <f>G12/$A$5</f>
        <v>0.167956704493953</v>
      </c>
    </row>
    <row r="13" spans="1:9">
      <c r="A13" s="12">
        <v>46054</v>
      </c>
      <c r="B13" s="13">
        <f>SUMIFS('Sales Data'!$F$5:$F$184,'Sales Data'!$A$5:$A$184,$A13)</f>
        <v>571650</v>
      </c>
      <c r="C13" s="14">
        <f>SUMIFS('Sales Data'!$D$5:$D$184,'Sales Data'!$A$5:$A$184,$A13)</f>
        <v>562</v>
      </c>
      <c r="D13" s="15">
        <f t="shared" si="0"/>
        <v>0.0896043000914912</v>
      </c>
      <c r="E13" s="2"/>
      <c r="F13" s="16" t="s">
        <v>18</v>
      </c>
      <c r="G13" s="13">
        <f>SUMIFS('Sales Data'!$F$5:$F$184,'Sales Data'!$C$5:$C$184,$F13)</f>
        <v>1343040</v>
      </c>
      <c r="H13" s="14">
        <f>SUMIFS('Sales Data'!$D$5:$D$184,'Sales Data'!$C$5:$C$184,$F13)</f>
        <v>2798</v>
      </c>
      <c r="I13" s="15">
        <f>G13/$A$5</f>
        <v>0.1705008105847</v>
      </c>
    </row>
    <row r="14" spans="1:9">
      <c r="A14" s="12">
        <v>46082</v>
      </c>
      <c r="B14" s="13">
        <f>SUMIFS('Sales Data'!$F$5:$F$184,'Sales Data'!$A$5:$A$184,$A14)</f>
        <v>586290</v>
      </c>
      <c r="C14" s="14">
        <f>SUMIFS('Sales Data'!$D$5:$D$184,'Sales Data'!$A$5:$A$184,$A14)</f>
        <v>574</v>
      </c>
      <c r="D14" s="15">
        <f t="shared" si="0"/>
        <v>0.0256100760955129</v>
      </c>
      <c r="E14" s="2"/>
      <c r="F14" s="2"/>
      <c r="G14" s="2"/>
      <c r="H14" s="2"/>
      <c r="I14" s="2"/>
    </row>
    <row r="15" spans="1:9">
      <c r="A15" s="12">
        <v>46113</v>
      </c>
      <c r="B15" s="13">
        <f>SUMIFS('Sales Data'!$F$5:$F$184,'Sales Data'!$A$5:$A$184,$A15)</f>
        <v>660770</v>
      </c>
      <c r="C15" s="14">
        <f>SUMIFS('Sales Data'!$D$5:$D$184,'Sales Data'!$A$5:$A$184,$A15)</f>
        <v>632</v>
      </c>
      <c r="D15" s="15">
        <f t="shared" si="0"/>
        <v>0.127036108410514</v>
      </c>
      <c r="E15" s="2"/>
      <c r="F15" s="4" t="s">
        <v>19</v>
      </c>
      <c r="G15" s="4" t="s">
        <v>8</v>
      </c>
      <c r="H15" s="4" t="s">
        <v>9</v>
      </c>
      <c r="I15" s="4" t="s">
        <v>12</v>
      </c>
    </row>
    <row r="16" spans="1:9">
      <c r="A16" s="12">
        <v>46143</v>
      </c>
      <c r="B16" s="13">
        <f>SUMIFS('Sales Data'!$F$5:$F$184,'Sales Data'!$A$5:$A$184,$A16)</f>
        <v>721420</v>
      </c>
      <c r="C16" s="14">
        <f>SUMIFS('Sales Data'!$D$5:$D$184,'Sales Data'!$A$5:$A$184,$A16)</f>
        <v>707</v>
      </c>
      <c r="D16" s="15">
        <f t="shared" si="0"/>
        <v>0.0917868547300875</v>
      </c>
      <c r="E16" s="2"/>
      <c r="F16" s="16" t="s">
        <v>20</v>
      </c>
      <c r="G16" s="13">
        <f>SUMIFS('Sales Data'!$F$5:$F$184,'Sales Data'!$B$5:$B$184,$F16)</f>
        <v>3667050</v>
      </c>
      <c r="H16" s="14">
        <f>SUMIFS('Sales Data'!$D$5:$D$184,'Sales Data'!$B$5:$B$184,$F16)</f>
        <v>3561</v>
      </c>
      <c r="I16" s="15">
        <f>G16/$A$5</f>
        <v>0.465537137728306</v>
      </c>
    </row>
    <row r="17" spans="1:9">
      <c r="A17" s="12">
        <v>46174</v>
      </c>
      <c r="B17" s="13">
        <f>SUMIFS('Sales Data'!$F$5:$F$184,'Sales Data'!$A$5:$A$184,$A17)</f>
        <v>596250</v>
      </c>
      <c r="C17" s="14">
        <f>SUMIFS('Sales Data'!$D$5:$D$184,'Sales Data'!$A$5:$A$184,$A17)</f>
        <v>575</v>
      </c>
      <c r="D17" s="15">
        <f t="shared" si="0"/>
        <v>-0.173505031742951</v>
      </c>
      <c r="E17" s="2"/>
      <c r="F17" s="16" t="s">
        <v>21</v>
      </c>
      <c r="G17" s="13">
        <f>SUMIFS('Sales Data'!$F$5:$F$184,'Sales Data'!$B$5:$B$184,$F17)</f>
        <v>2593800</v>
      </c>
      <c r="H17" s="14">
        <f>SUMIFS('Sales Data'!$D$5:$D$184,'Sales Data'!$B$5:$B$184,$F17)</f>
        <v>2517</v>
      </c>
      <c r="I17" s="15">
        <f>G17/$A$5</f>
        <v>0.329286545817396</v>
      </c>
    </row>
    <row r="18" spans="1:9">
      <c r="A18" s="12">
        <v>46204</v>
      </c>
      <c r="B18" s="13">
        <f>SUMIFS('Sales Data'!$F$5:$F$184,'Sales Data'!$A$5:$A$184,$A18)</f>
        <v>610870</v>
      </c>
      <c r="C18" s="14">
        <f>SUMIFS('Sales Data'!$D$5:$D$184,'Sales Data'!$A$5:$A$184,$A18)</f>
        <v>592</v>
      </c>
      <c r="D18" s="15">
        <f t="shared" si="0"/>
        <v>0.0245199161425576</v>
      </c>
      <c r="E18" s="2"/>
      <c r="F18" s="16" t="s">
        <v>22</v>
      </c>
      <c r="G18" s="13">
        <f>SUMIFS('Sales Data'!$F$5:$F$184,'Sales Data'!$B$5:$B$184,$F18)</f>
        <v>1616180</v>
      </c>
      <c r="H18" s="14">
        <f>SUMIFS('Sales Data'!$D$5:$D$184,'Sales Data'!$B$5:$B$184,$F18)</f>
        <v>1574</v>
      </c>
      <c r="I18" s="15">
        <f>G18/$A$5</f>
        <v>0.205176316454298</v>
      </c>
    </row>
    <row r="19" spans="1:9">
      <c r="A19" s="12">
        <v>46235</v>
      </c>
      <c r="B19" s="13">
        <f>SUMIFS('Sales Data'!$F$5:$F$184,'Sales Data'!$A$5:$A$184,$A19)</f>
        <v>676640</v>
      </c>
      <c r="C19" s="14">
        <f>SUMIFS('Sales Data'!$D$5:$D$184,'Sales Data'!$A$5:$A$184,$A19)</f>
        <v>667</v>
      </c>
      <c r="D19" s="15">
        <f t="shared" si="0"/>
        <v>0.107666115540131</v>
      </c>
      <c r="E19" s="2"/>
      <c r="F19" s="2"/>
      <c r="G19" s="2"/>
      <c r="H19" s="2"/>
      <c r="I19" s="2"/>
    </row>
    <row r="20" spans="1:9">
      <c r="A20" s="12">
        <v>46266</v>
      </c>
      <c r="B20" s="13">
        <f>SUMIFS('Sales Data'!$F$5:$F$184,'Sales Data'!$A$5:$A$184,$A20)</f>
        <v>778140</v>
      </c>
      <c r="C20" s="14">
        <f>SUMIFS('Sales Data'!$D$5:$D$184,'Sales Data'!$A$5:$A$184,$A20)</f>
        <v>750</v>
      </c>
      <c r="D20" s="15">
        <f t="shared" si="0"/>
        <v>0.150005911563017</v>
      </c>
      <c r="E20" s="2"/>
      <c r="F20" s="2"/>
      <c r="G20" s="2"/>
      <c r="H20" s="2"/>
      <c r="I20" s="2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 outlineLevelCol="5"/>
  <cols>
    <col min="1" max="1" width="12" customWidth="1"/>
    <col min="2" max="2" width="11" customWidth="1"/>
    <col min="3" max="3" width="30" customWidth="1"/>
    <col min="4" max="4" width="8" customWidth="1"/>
    <col min="5" max="5" width="12" customWidth="1"/>
    <col min="6" max="6" width="14" customWidth="1"/>
  </cols>
  <sheetData>
    <row r="1" ht="20.25" spans="1:6">
      <c r="A1" s="1" t="s">
        <v>23</v>
      </c>
      <c r="B1" s="2"/>
      <c r="C1" s="2"/>
      <c r="D1" s="2"/>
      <c r="E1" s="2"/>
      <c r="F1" s="2"/>
    </row>
    <row r="2" spans="1:6">
      <c r="A2" s="3" t="s">
        <v>24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4" t="s">
        <v>7</v>
      </c>
      <c r="B4" s="4" t="s">
        <v>19</v>
      </c>
      <c r="C4" s="4" t="s">
        <v>11</v>
      </c>
      <c r="D4" s="4" t="s">
        <v>9</v>
      </c>
      <c r="E4" s="4" t="s">
        <v>25</v>
      </c>
      <c r="F4" s="4" t="s">
        <v>8</v>
      </c>
    </row>
    <row r="5" spans="1:6">
      <c r="A5" s="5">
        <v>45931</v>
      </c>
      <c r="B5" s="2" t="s">
        <v>20</v>
      </c>
      <c r="C5" s="2" t="s">
        <v>14</v>
      </c>
      <c r="D5" s="2">
        <v>51</v>
      </c>
      <c r="E5" s="6">
        <v>1250</v>
      </c>
      <c r="F5" s="6">
        <f t="shared" ref="F5:F68" si="0">D5*E5</f>
        <v>63750</v>
      </c>
    </row>
    <row r="6" spans="1:6">
      <c r="A6" s="5">
        <v>45931</v>
      </c>
      <c r="B6" s="2" t="s">
        <v>20</v>
      </c>
      <c r="C6" s="2" t="s">
        <v>15</v>
      </c>
      <c r="D6" s="2">
        <v>68</v>
      </c>
      <c r="E6" s="6">
        <v>890</v>
      </c>
      <c r="F6" s="6">
        <f t="shared" si="0"/>
        <v>60520</v>
      </c>
    </row>
    <row r="7" spans="1:6">
      <c r="A7" s="5">
        <v>45931</v>
      </c>
      <c r="B7" s="2" t="s">
        <v>20</v>
      </c>
      <c r="C7" s="2" t="s">
        <v>16</v>
      </c>
      <c r="D7" s="2">
        <v>28</v>
      </c>
      <c r="E7" s="6">
        <v>1650</v>
      </c>
      <c r="F7" s="6">
        <f t="shared" si="0"/>
        <v>46200</v>
      </c>
    </row>
    <row r="8" spans="1:6">
      <c r="A8" s="5">
        <v>45931</v>
      </c>
      <c r="B8" s="2" t="s">
        <v>20</v>
      </c>
      <c r="C8" s="2" t="s">
        <v>17</v>
      </c>
      <c r="D8" s="2">
        <v>9</v>
      </c>
      <c r="E8" s="6">
        <v>4200</v>
      </c>
      <c r="F8" s="6">
        <f t="shared" si="0"/>
        <v>37800</v>
      </c>
    </row>
    <row r="9" spans="1:6">
      <c r="A9" s="5">
        <v>45931</v>
      </c>
      <c r="B9" s="2" t="s">
        <v>20</v>
      </c>
      <c r="C9" s="2" t="s">
        <v>18</v>
      </c>
      <c r="D9" s="2">
        <v>100</v>
      </c>
      <c r="E9" s="6">
        <v>480</v>
      </c>
      <c r="F9" s="6">
        <f t="shared" si="0"/>
        <v>48000</v>
      </c>
    </row>
    <row r="10" spans="1:6">
      <c r="A10" s="5">
        <v>45931</v>
      </c>
      <c r="B10" s="2" t="s">
        <v>21</v>
      </c>
      <c r="C10" s="2" t="s">
        <v>14</v>
      </c>
      <c r="D10" s="2">
        <v>36</v>
      </c>
      <c r="E10" s="6">
        <v>1250</v>
      </c>
      <c r="F10" s="6">
        <f t="shared" si="0"/>
        <v>45000</v>
      </c>
    </row>
    <row r="11" spans="1:6">
      <c r="A11" s="5">
        <v>45931</v>
      </c>
      <c r="B11" s="2" t="s">
        <v>21</v>
      </c>
      <c r="C11" s="2" t="s">
        <v>15</v>
      </c>
      <c r="D11" s="2">
        <v>46</v>
      </c>
      <c r="E11" s="6">
        <v>890</v>
      </c>
      <c r="F11" s="6">
        <f t="shared" si="0"/>
        <v>40940</v>
      </c>
    </row>
    <row r="12" spans="1:6">
      <c r="A12" s="5">
        <v>45931</v>
      </c>
      <c r="B12" s="2" t="s">
        <v>21</v>
      </c>
      <c r="C12" s="2" t="s">
        <v>16</v>
      </c>
      <c r="D12" s="2">
        <v>19</v>
      </c>
      <c r="E12" s="6">
        <v>1650</v>
      </c>
      <c r="F12" s="6">
        <f t="shared" si="0"/>
        <v>31350</v>
      </c>
    </row>
    <row r="13" spans="1:6">
      <c r="A13" s="5">
        <v>45931</v>
      </c>
      <c r="B13" s="2" t="s">
        <v>21</v>
      </c>
      <c r="C13" s="2" t="s">
        <v>17</v>
      </c>
      <c r="D13" s="2">
        <v>7</v>
      </c>
      <c r="E13" s="6">
        <v>4200</v>
      </c>
      <c r="F13" s="6">
        <f t="shared" si="0"/>
        <v>29400</v>
      </c>
    </row>
    <row r="14" spans="1:6">
      <c r="A14" s="5">
        <v>45931</v>
      </c>
      <c r="B14" s="2" t="s">
        <v>21</v>
      </c>
      <c r="C14" s="2" t="s">
        <v>18</v>
      </c>
      <c r="D14" s="2">
        <v>68</v>
      </c>
      <c r="E14" s="6">
        <v>480</v>
      </c>
      <c r="F14" s="6">
        <f t="shared" si="0"/>
        <v>32640</v>
      </c>
    </row>
    <row r="15" spans="1:6">
      <c r="A15" s="5">
        <v>45931</v>
      </c>
      <c r="B15" s="2" t="s">
        <v>22</v>
      </c>
      <c r="C15" s="2" t="s">
        <v>14</v>
      </c>
      <c r="D15" s="2">
        <v>21</v>
      </c>
      <c r="E15" s="6">
        <v>1250</v>
      </c>
      <c r="F15" s="6">
        <f t="shared" si="0"/>
        <v>26250</v>
      </c>
    </row>
    <row r="16" spans="1:6">
      <c r="A16" s="5">
        <v>45931</v>
      </c>
      <c r="B16" s="2" t="s">
        <v>22</v>
      </c>
      <c r="C16" s="2" t="s">
        <v>15</v>
      </c>
      <c r="D16" s="2">
        <v>30</v>
      </c>
      <c r="E16" s="6">
        <v>890</v>
      </c>
      <c r="F16" s="6">
        <f t="shared" si="0"/>
        <v>26700</v>
      </c>
    </row>
    <row r="17" spans="1:6">
      <c r="A17" s="5">
        <v>45931</v>
      </c>
      <c r="B17" s="2" t="s">
        <v>22</v>
      </c>
      <c r="C17" s="2" t="s">
        <v>16</v>
      </c>
      <c r="D17" s="2">
        <v>12</v>
      </c>
      <c r="E17" s="6">
        <v>1650</v>
      </c>
      <c r="F17" s="6">
        <f t="shared" si="0"/>
        <v>19800</v>
      </c>
    </row>
    <row r="18" spans="1:6">
      <c r="A18" s="5">
        <v>45931</v>
      </c>
      <c r="B18" s="2" t="s">
        <v>22</v>
      </c>
      <c r="C18" s="2" t="s">
        <v>17</v>
      </c>
      <c r="D18" s="2">
        <v>5</v>
      </c>
      <c r="E18" s="6">
        <v>4200</v>
      </c>
      <c r="F18" s="6">
        <f t="shared" si="0"/>
        <v>21000</v>
      </c>
    </row>
    <row r="19" spans="1:6">
      <c r="A19" s="5">
        <v>45931</v>
      </c>
      <c r="B19" s="2" t="s">
        <v>22</v>
      </c>
      <c r="C19" s="2" t="s">
        <v>18</v>
      </c>
      <c r="D19" s="2">
        <v>40</v>
      </c>
      <c r="E19" s="6">
        <v>480</v>
      </c>
      <c r="F19" s="6">
        <f t="shared" si="0"/>
        <v>19200</v>
      </c>
    </row>
    <row r="20" spans="1:6">
      <c r="A20" s="5">
        <v>45962</v>
      </c>
      <c r="B20" s="2" t="s">
        <v>20</v>
      </c>
      <c r="C20" s="2" t="s">
        <v>14</v>
      </c>
      <c r="D20" s="2">
        <v>58</v>
      </c>
      <c r="E20" s="6">
        <v>1250</v>
      </c>
      <c r="F20" s="6">
        <f t="shared" si="0"/>
        <v>72500</v>
      </c>
    </row>
    <row r="21" spans="1:6">
      <c r="A21" s="5">
        <v>45962</v>
      </c>
      <c r="B21" s="2" t="s">
        <v>20</v>
      </c>
      <c r="C21" s="2" t="s">
        <v>15</v>
      </c>
      <c r="D21" s="2">
        <v>93</v>
      </c>
      <c r="E21" s="6">
        <v>890</v>
      </c>
      <c r="F21" s="6">
        <f t="shared" si="0"/>
        <v>82770</v>
      </c>
    </row>
    <row r="22" spans="1:6">
      <c r="A22" s="5">
        <v>45962</v>
      </c>
      <c r="B22" s="2" t="s">
        <v>20</v>
      </c>
      <c r="C22" s="2" t="s">
        <v>16</v>
      </c>
      <c r="D22" s="2">
        <v>36</v>
      </c>
      <c r="E22" s="6">
        <v>1650</v>
      </c>
      <c r="F22" s="6">
        <f t="shared" si="0"/>
        <v>59400</v>
      </c>
    </row>
    <row r="23" spans="1:6">
      <c r="A23" s="5">
        <v>45962</v>
      </c>
      <c r="B23" s="2" t="s">
        <v>20</v>
      </c>
      <c r="C23" s="2" t="s">
        <v>17</v>
      </c>
      <c r="D23" s="2">
        <v>13</v>
      </c>
      <c r="E23" s="6">
        <v>4200</v>
      </c>
      <c r="F23" s="6">
        <f t="shared" si="0"/>
        <v>54600</v>
      </c>
    </row>
    <row r="24" spans="1:6">
      <c r="A24" s="5">
        <v>45962</v>
      </c>
      <c r="B24" s="2" t="s">
        <v>20</v>
      </c>
      <c r="C24" s="2" t="s">
        <v>18</v>
      </c>
      <c r="D24" s="2">
        <v>112</v>
      </c>
      <c r="E24" s="6">
        <v>480</v>
      </c>
      <c r="F24" s="6">
        <f t="shared" si="0"/>
        <v>53760</v>
      </c>
    </row>
    <row r="25" spans="1:6">
      <c r="A25" s="5">
        <v>45962</v>
      </c>
      <c r="B25" s="2" t="s">
        <v>21</v>
      </c>
      <c r="C25" s="2" t="s">
        <v>14</v>
      </c>
      <c r="D25" s="2">
        <v>50</v>
      </c>
      <c r="E25" s="6">
        <v>1250</v>
      </c>
      <c r="F25" s="6">
        <f t="shared" si="0"/>
        <v>62500</v>
      </c>
    </row>
    <row r="26" spans="1:6">
      <c r="A26" s="5">
        <v>45962</v>
      </c>
      <c r="B26" s="2" t="s">
        <v>21</v>
      </c>
      <c r="C26" s="2" t="s">
        <v>15</v>
      </c>
      <c r="D26" s="2">
        <v>54</v>
      </c>
      <c r="E26" s="6">
        <v>890</v>
      </c>
      <c r="F26" s="6">
        <f t="shared" si="0"/>
        <v>48060</v>
      </c>
    </row>
    <row r="27" spans="1:6">
      <c r="A27" s="5">
        <v>45962</v>
      </c>
      <c r="B27" s="2" t="s">
        <v>21</v>
      </c>
      <c r="C27" s="2" t="s">
        <v>16</v>
      </c>
      <c r="D27" s="2">
        <v>24</v>
      </c>
      <c r="E27" s="6">
        <v>1650</v>
      </c>
      <c r="F27" s="6">
        <f t="shared" si="0"/>
        <v>39600</v>
      </c>
    </row>
    <row r="28" spans="1:6">
      <c r="A28" s="5">
        <v>45962</v>
      </c>
      <c r="B28" s="2" t="s">
        <v>21</v>
      </c>
      <c r="C28" s="2" t="s">
        <v>17</v>
      </c>
      <c r="D28" s="2">
        <v>8</v>
      </c>
      <c r="E28" s="6">
        <v>4200</v>
      </c>
      <c r="F28" s="6">
        <f t="shared" si="0"/>
        <v>33600</v>
      </c>
    </row>
    <row r="29" spans="1:6">
      <c r="A29" s="5">
        <v>45962</v>
      </c>
      <c r="B29" s="2" t="s">
        <v>21</v>
      </c>
      <c r="C29" s="2" t="s">
        <v>18</v>
      </c>
      <c r="D29" s="2">
        <v>72</v>
      </c>
      <c r="E29" s="6">
        <v>480</v>
      </c>
      <c r="F29" s="6">
        <f t="shared" si="0"/>
        <v>34560</v>
      </c>
    </row>
    <row r="30" spans="1:6">
      <c r="A30" s="5">
        <v>45962</v>
      </c>
      <c r="B30" s="2" t="s">
        <v>22</v>
      </c>
      <c r="C30" s="2" t="s">
        <v>14</v>
      </c>
      <c r="D30" s="2">
        <v>25</v>
      </c>
      <c r="E30" s="6">
        <v>1250</v>
      </c>
      <c r="F30" s="6">
        <f t="shared" si="0"/>
        <v>31250</v>
      </c>
    </row>
    <row r="31" spans="1:6">
      <c r="A31" s="5">
        <v>45962</v>
      </c>
      <c r="B31" s="2" t="s">
        <v>22</v>
      </c>
      <c r="C31" s="2" t="s">
        <v>15</v>
      </c>
      <c r="D31" s="2">
        <v>38</v>
      </c>
      <c r="E31" s="6">
        <v>890</v>
      </c>
      <c r="F31" s="6">
        <f t="shared" si="0"/>
        <v>33820</v>
      </c>
    </row>
    <row r="32" spans="1:6">
      <c r="A32" s="5">
        <v>45962</v>
      </c>
      <c r="B32" s="2" t="s">
        <v>22</v>
      </c>
      <c r="C32" s="2" t="s">
        <v>16</v>
      </c>
      <c r="D32" s="2">
        <v>16</v>
      </c>
      <c r="E32" s="6">
        <v>1650</v>
      </c>
      <c r="F32" s="6">
        <f t="shared" si="0"/>
        <v>26400</v>
      </c>
    </row>
    <row r="33" spans="1:6">
      <c r="A33" s="5">
        <v>45962</v>
      </c>
      <c r="B33" s="2" t="s">
        <v>22</v>
      </c>
      <c r="C33" s="2" t="s">
        <v>17</v>
      </c>
      <c r="D33" s="2">
        <v>5</v>
      </c>
      <c r="E33" s="6">
        <v>4200</v>
      </c>
      <c r="F33" s="6">
        <f t="shared" si="0"/>
        <v>21000</v>
      </c>
    </row>
    <row r="34" spans="1:6">
      <c r="A34" s="5">
        <v>45962</v>
      </c>
      <c r="B34" s="2" t="s">
        <v>22</v>
      </c>
      <c r="C34" s="2" t="s">
        <v>18</v>
      </c>
      <c r="D34" s="2">
        <v>53</v>
      </c>
      <c r="E34" s="6">
        <v>480</v>
      </c>
      <c r="F34" s="6">
        <f t="shared" si="0"/>
        <v>25440</v>
      </c>
    </row>
    <row r="35" spans="1:6">
      <c r="A35" s="5">
        <v>45992</v>
      </c>
      <c r="B35" s="2" t="s">
        <v>20</v>
      </c>
      <c r="C35" s="2" t="s">
        <v>14</v>
      </c>
      <c r="D35" s="2">
        <v>91</v>
      </c>
      <c r="E35" s="6">
        <v>1250</v>
      </c>
      <c r="F35" s="6">
        <f t="shared" si="0"/>
        <v>113750</v>
      </c>
    </row>
    <row r="36" spans="1:6">
      <c r="A36" s="5">
        <v>45992</v>
      </c>
      <c r="B36" s="2" t="s">
        <v>20</v>
      </c>
      <c r="C36" s="2" t="s">
        <v>15</v>
      </c>
      <c r="D36" s="2">
        <v>119</v>
      </c>
      <c r="E36" s="6">
        <v>890</v>
      </c>
      <c r="F36" s="6">
        <f t="shared" si="0"/>
        <v>105910</v>
      </c>
    </row>
    <row r="37" spans="1:6">
      <c r="A37" s="5">
        <v>45992</v>
      </c>
      <c r="B37" s="2" t="s">
        <v>20</v>
      </c>
      <c r="C37" s="2" t="s">
        <v>16</v>
      </c>
      <c r="D37" s="2">
        <v>44</v>
      </c>
      <c r="E37" s="6">
        <v>1650</v>
      </c>
      <c r="F37" s="6">
        <f t="shared" si="0"/>
        <v>72600</v>
      </c>
    </row>
    <row r="38" spans="1:6">
      <c r="A38" s="5">
        <v>45992</v>
      </c>
      <c r="B38" s="2" t="s">
        <v>20</v>
      </c>
      <c r="C38" s="2" t="s">
        <v>17</v>
      </c>
      <c r="D38" s="2">
        <v>15</v>
      </c>
      <c r="E38" s="6">
        <v>4200</v>
      </c>
      <c r="F38" s="6">
        <f t="shared" si="0"/>
        <v>63000</v>
      </c>
    </row>
    <row r="39" spans="1:6">
      <c r="A39" s="5">
        <v>45992</v>
      </c>
      <c r="B39" s="2" t="s">
        <v>20</v>
      </c>
      <c r="C39" s="2" t="s">
        <v>18</v>
      </c>
      <c r="D39" s="2">
        <v>138</v>
      </c>
      <c r="E39" s="6">
        <v>480</v>
      </c>
      <c r="F39" s="6">
        <f t="shared" si="0"/>
        <v>66240</v>
      </c>
    </row>
    <row r="40" spans="1:6">
      <c r="A40" s="5">
        <v>45992</v>
      </c>
      <c r="B40" s="2" t="s">
        <v>21</v>
      </c>
      <c r="C40" s="2" t="s">
        <v>14</v>
      </c>
      <c r="D40" s="2">
        <v>56</v>
      </c>
      <c r="E40" s="6">
        <v>1250</v>
      </c>
      <c r="F40" s="6">
        <f t="shared" si="0"/>
        <v>70000</v>
      </c>
    </row>
    <row r="41" spans="1:6">
      <c r="A41" s="5">
        <v>45992</v>
      </c>
      <c r="B41" s="2" t="s">
        <v>21</v>
      </c>
      <c r="C41" s="2" t="s">
        <v>15</v>
      </c>
      <c r="D41" s="2">
        <v>91</v>
      </c>
      <c r="E41" s="6">
        <v>890</v>
      </c>
      <c r="F41" s="6">
        <f t="shared" si="0"/>
        <v>80990</v>
      </c>
    </row>
    <row r="42" spans="1:6">
      <c r="A42" s="5">
        <v>45992</v>
      </c>
      <c r="B42" s="2" t="s">
        <v>21</v>
      </c>
      <c r="C42" s="2" t="s">
        <v>16</v>
      </c>
      <c r="D42" s="2">
        <v>30</v>
      </c>
      <c r="E42" s="6">
        <v>1650</v>
      </c>
      <c r="F42" s="6">
        <f t="shared" si="0"/>
        <v>49500</v>
      </c>
    </row>
    <row r="43" spans="1:6">
      <c r="A43" s="5">
        <v>45992</v>
      </c>
      <c r="B43" s="2" t="s">
        <v>21</v>
      </c>
      <c r="C43" s="2" t="s">
        <v>17</v>
      </c>
      <c r="D43" s="2">
        <v>12</v>
      </c>
      <c r="E43" s="6">
        <v>4200</v>
      </c>
      <c r="F43" s="6">
        <f t="shared" si="0"/>
        <v>50400</v>
      </c>
    </row>
    <row r="44" spans="1:6">
      <c r="A44" s="5">
        <v>45992</v>
      </c>
      <c r="B44" s="2" t="s">
        <v>21</v>
      </c>
      <c r="C44" s="2" t="s">
        <v>18</v>
      </c>
      <c r="D44" s="2">
        <v>115</v>
      </c>
      <c r="E44" s="6">
        <v>480</v>
      </c>
      <c r="F44" s="6">
        <f t="shared" si="0"/>
        <v>55200</v>
      </c>
    </row>
    <row r="45" spans="1:6">
      <c r="A45" s="5">
        <v>45992</v>
      </c>
      <c r="B45" s="2" t="s">
        <v>22</v>
      </c>
      <c r="C45" s="2" t="s">
        <v>14</v>
      </c>
      <c r="D45" s="2">
        <v>39</v>
      </c>
      <c r="E45" s="6">
        <v>1250</v>
      </c>
      <c r="F45" s="6">
        <f t="shared" si="0"/>
        <v>48750</v>
      </c>
    </row>
    <row r="46" spans="1:6">
      <c r="A46" s="5">
        <v>45992</v>
      </c>
      <c r="B46" s="2" t="s">
        <v>22</v>
      </c>
      <c r="C46" s="2" t="s">
        <v>15</v>
      </c>
      <c r="D46" s="2">
        <v>52</v>
      </c>
      <c r="E46" s="6">
        <v>890</v>
      </c>
      <c r="F46" s="6">
        <f t="shared" si="0"/>
        <v>46280</v>
      </c>
    </row>
    <row r="47" spans="1:6">
      <c r="A47" s="5">
        <v>45992</v>
      </c>
      <c r="B47" s="2" t="s">
        <v>22</v>
      </c>
      <c r="C47" s="2" t="s">
        <v>16</v>
      </c>
      <c r="D47" s="2">
        <v>21</v>
      </c>
      <c r="E47" s="6">
        <v>1650</v>
      </c>
      <c r="F47" s="6">
        <f t="shared" si="0"/>
        <v>34650</v>
      </c>
    </row>
    <row r="48" spans="1:6">
      <c r="A48" s="5">
        <v>45992</v>
      </c>
      <c r="B48" s="2" t="s">
        <v>22</v>
      </c>
      <c r="C48" s="2" t="s">
        <v>17</v>
      </c>
      <c r="D48" s="2">
        <v>8</v>
      </c>
      <c r="E48" s="6">
        <v>4200</v>
      </c>
      <c r="F48" s="6">
        <f t="shared" si="0"/>
        <v>33600</v>
      </c>
    </row>
    <row r="49" spans="1:6">
      <c r="A49" s="5">
        <v>45992</v>
      </c>
      <c r="B49" s="2" t="s">
        <v>22</v>
      </c>
      <c r="C49" s="2" t="s">
        <v>18</v>
      </c>
      <c r="D49" s="2">
        <v>66</v>
      </c>
      <c r="E49" s="6">
        <v>480</v>
      </c>
      <c r="F49" s="6">
        <f t="shared" si="0"/>
        <v>31680</v>
      </c>
    </row>
    <row r="50" spans="1:6">
      <c r="A50" s="5">
        <v>46023</v>
      </c>
      <c r="B50" s="2" t="s">
        <v>20</v>
      </c>
      <c r="C50" s="2" t="s">
        <v>14</v>
      </c>
      <c r="D50" s="2">
        <v>49</v>
      </c>
      <c r="E50" s="6">
        <v>1250</v>
      </c>
      <c r="F50" s="6">
        <f t="shared" si="0"/>
        <v>61250</v>
      </c>
    </row>
    <row r="51" spans="1:6">
      <c r="A51" s="5">
        <v>46023</v>
      </c>
      <c r="B51" s="2" t="s">
        <v>20</v>
      </c>
      <c r="C51" s="2" t="s">
        <v>15</v>
      </c>
      <c r="D51" s="2">
        <v>69</v>
      </c>
      <c r="E51" s="6">
        <v>890</v>
      </c>
      <c r="F51" s="6">
        <f t="shared" si="0"/>
        <v>61410</v>
      </c>
    </row>
    <row r="52" spans="1:6">
      <c r="A52" s="5">
        <v>46023</v>
      </c>
      <c r="B52" s="2" t="s">
        <v>20</v>
      </c>
      <c r="C52" s="2" t="s">
        <v>16</v>
      </c>
      <c r="D52" s="2">
        <v>27</v>
      </c>
      <c r="E52" s="6">
        <v>1650</v>
      </c>
      <c r="F52" s="6">
        <f t="shared" si="0"/>
        <v>44550</v>
      </c>
    </row>
    <row r="53" spans="1:6">
      <c r="A53" s="5">
        <v>46023</v>
      </c>
      <c r="B53" s="2" t="s">
        <v>20</v>
      </c>
      <c r="C53" s="2" t="s">
        <v>17</v>
      </c>
      <c r="D53" s="2">
        <v>10</v>
      </c>
      <c r="E53" s="6">
        <v>4200</v>
      </c>
      <c r="F53" s="6">
        <f t="shared" si="0"/>
        <v>42000</v>
      </c>
    </row>
    <row r="54" spans="1:6">
      <c r="A54" s="5">
        <v>46023</v>
      </c>
      <c r="B54" s="2" t="s">
        <v>20</v>
      </c>
      <c r="C54" s="2" t="s">
        <v>18</v>
      </c>
      <c r="D54" s="2">
        <v>82</v>
      </c>
      <c r="E54" s="6">
        <v>480</v>
      </c>
      <c r="F54" s="6">
        <f t="shared" si="0"/>
        <v>39360</v>
      </c>
    </row>
    <row r="55" spans="1:6">
      <c r="A55" s="5">
        <v>46023</v>
      </c>
      <c r="B55" s="2" t="s">
        <v>21</v>
      </c>
      <c r="C55" s="2" t="s">
        <v>14</v>
      </c>
      <c r="D55" s="2">
        <v>38</v>
      </c>
      <c r="E55" s="6">
        <v>1250</v>
      </c>
      <c r="F55" s="6">
        <f t="shared" si="0"/>
        <v>47500</v>
      </c>
    </row>
    <row r="56" spans="1:6">
      <c r="A56" s="5">
        <v>46023</v>
      </c>
      <c r="B56" s="2" t="s">
        <v>21</v>
      </c>
      <c r="C56" s="2" t="s">
        <v>15</v>
      </c>
      <c r="D56" s="2">
        <v>42</v>
      </c>
      <c r="E56" s="6">
        <v>890</v>
      </c>
      <c r="F56" s="6">
        <f t="shared" si="0"/>
        <v>37380</v>
      </c>
    </row>
    <row r="57" spans="1:6">
      <c r="A57" s="5">
        <v>46023</v>
      </c>
      <c r="B57" s="2" t="s">
        <v>21</v>
      </c>
      <c r="C57" s="2" t="s">
        <v>16</v>
      </c>
      <c r="D57" s="2">
        <v>16</v>
      </c>
      <c r="E57" s="6">
        <v>1650</v>
      </c>
      <c r="F57" s="6">
        <f t="shared" si="0"/>
        <v>26400</v>
      </c>
    </row>
    <row r="58" spans="1:6">
      <c r="A58" s="5">
        <v>46023</v>
      </c>
      <c r="B58" s="2" t="s">
        <v>21</v>
      </c>
      <c r="C58" s="2" t="s">
        <v>17</v>
      </c>
      <c r="D58" s="2">
        <v>7</v>
      </c>
      <c r="E58" s="6">
        <v>4200</v>
      </c>
      <c r="F58" s="6">
        <f t="shared" si="0"/>
        <v>29400</v>
      </c>
    </row>
    <row r="59" spans="1:6">
      <c r="A59" s="5">
        <v>46023</v>
      </c>
      <c r="B59" s="2" t="s">
        <v>21</v>
      </c>
      <c r="C59" s="2" t="s">
        <v>18</v>
      </c>
      <c r="D59" s="2">
        <v>55</v>
      </c>
      <c r="E59" s="6">
        <v>480</v>
      </c>
      <c r="F59" s="6">
        <f t="shared" si="0"/>
        <v>26400</v>
      </c>
    </row>
    <row r="60" spans="1:6">
      <c r="A60" s="5">
        <v>46023</v>
      </c>
      <c r="B60" s="2" t="s">
        <v>22</v>
      </c>
      <c r="C60" s="2" t="s">
        <v>14</v>
      </c>
      <c r="D60" s="2">
        <v>22</v>
      </c>
      <c r="E60" s="6">
        <v>1250</v>
      </c>
      <c r="F60" s="6">
        <f t="shared" si="0"/>
        <v>27500</v>
      </c>
    </row>
    <row r="61" spans="1:6">
      <c r="A61" s="5">
        <v>46023</v>
      </c>
      <c r="B61" s="2" t="s">
        <v>22</v>
      </c>
      <c r="C61" s="2" t="s">
        <v>15</v>
      </c>
      <c r="D61" s="2">
        <v>26</v>
      </c>
      <c r="E61" s="6">
        <v>890</v>
      </c>
      <c r="F61" s="6">
        <f t="shared" si="0"/>
        <v>23140</v>
      </c>
    </row>
    <row r="62" spans="1:6">
      <c r="A62" s="5">
        <v>46023</v>
      </c>
      <c r="B62" s="2" t="s">
        <v>22</v>
      </c>
      <c r="C62" s="2" t="s">
        <v>16</v>
      </c>
      <c r="D62" s="2">
        <v>11</v>
      </c>
      <c r="E62" s="6">
        <v>1650</v>
      </c>
      <c r="F62" s="6">
        <f t="shared" si="0"/>
        <v>18150</v>
      </c>
    </row>
    <row r="63" spans="1:6">
      <c r="A63" s="5">
        <v>46023</v>
      </c>
      <c r="B63" s="2" t="s">
        <v>22</v>
      </c>
      <c r="C63" s="2" t="s">
        <v>17</v>
      </c>
      <c r="D63" s="2">
        <v>5</v>
      </c>
      <c r="E63" s="6">
        <v>4200</v>
      </c>
      <c r="F63" s="6">
        <f t="shared" si="0"/>
        <v>21000</v>
      </c>
    </row>
    <row r="64" spans="1:6">
      <c r="A64" s="5">
        <v>46023</v>
      </c>
      <c r="B64" s="2" t="s">
        <v>22</v>
      </c>
      <c r="C64" s="2" t="s">
        <v>18</v>
      </c>
      <c r="D64" s="2">
        <v>40</v>
      </c>
      <c r="E64" s="6">
        <v>480</v>
      </c>
      <c r="F64" s="6">
        <f t="shared" si="0"/>
        <v>19200</v>
      </c>
    </row>
    <row r="65" spans="1:6">
      <c r="A65" s="5">
        <v>46054</v>
      </c>
      <c r="B65" s="2" t="s">
        <v>20</v>
      </c>
      <c r="C65" s="2" t="s">
        <v>14</v>
      </c>
      <c r="D65" s="2">
        <v>57</v>
      </c>
      <c r="E65" s="6">
        <v>1250</v>
      </c>
      <c r="F65" s="6">
        <f t="shared" si="0"/>
        <v>71250</v>
      </c>
    </row>
    <row r="66" spans="1:6">
      <c r="A66" s="5">
        <v>46054</v>
      </c>
      <c r="B66" s="2" t="s">
        <v>20</v>
      </c>
      <c r="C66" s="2" t="s">
        <v>15</v>
      </c>
      <c r="D66" s="2">
        <v>68</v>
      </c>
      <c r="E66" s="6">
        <v>890</v>
      </c>
      <c r="F66" s="6">
        <f t="shared" si="0"/>
        <v>60520</v>
      </c>
    </row>
    <row r="67" spans="1:6">
      <c r="A67" s="5">
        <v>46054</v>
      </c>
      <c r="B67" s="2" t="s">
        <v>20</v>
      </c>
      <c r="C67" s="2" t="s">
        <v>16</v>
      </c>
      <c r="D67" s="2">
        <v>27</v>
      </c>
      <c r="E67" s="6">
        <v>1650</v>
      </c>
      <c r="F67" s="6">
        <f t="shared" si="0"/>
        <v>44550</v>
      </c>
    </row>
    <row r="68" spans="1:6">
      <c r="A68" s="5">
        <v>46054</v>
      </c>
      <c r="B68" s="2" t="s">
        <v>20</v>
      </c>
      <c r="C68" s="2" t="s">
        <v>17</v>
      </c>
      <c r="D68" s="2">
        <v>10</v>
      </c>
      <c r="E68" s="6">
        <v>4200</v>
      </c>
      <c r="F68" s="6">
        <f t="shared" si="0"/>
        <v>42000</v>
      </c>
    </row>
    <row r="69" spans="1:6">
      <c r="A69" s="5">
        <v>46054</v>
      </c>
      <c r="B69" s="2" t="s">
        <v>20</v>
      </c>
      <c r="C69" s="2" t="s">
        <v>18</v>
      </c>
      <c r="D69" s="2">
        <v>96</v>
      </c>
      <c r="E69" s="6">
        <v>480</v>
      </c>
      <c r="F69" s="6">
        <f t="shared" ref="F69:F132" si="1">D69*E69</f>
        <v>46080</v>
      </c>
    </row>
    <row r="70" spans="1:6">
      <c r="A70" s="5">
        <v>46054</v>
      </c>
      <c r="B70" s="2" t="s">
        <v>21</v>
      </c>
      <c r="C70" s="2" t="s">
        <v>14</v>
      </c>
      <c r="D70" s="2">
        <v>35</v>
      </c>
      <c r="E70" s="6">
        <v>1250</v>
      </c>
      <c r="F70" s="6">
        <f t="shared" si="1"/>
        <v>43750</v>
      </c>
    </row>
    <row r="71" spans="1:6">
      <c r="A71" s="5">
        <v>46054</v>
      </c>
      <c r="B71" s="2" t="s">
        <v>21</v>
      </c>
      <c r="C71" s="2" t="s">
        <v>15</v>
      </c>
      <c r="D71" s="2">
        <v>56</v>
      </c>
      <c r="E71" s="6">
        <v>890</v>
      </c>
      <c r="F71" s="6">
        <f t="shared" si="1"/>
        <v>49840</v>
      </c>
    </row>
    <row r="72" spans="1:6">
      <c r="A72" s="5">
        <v>46054</v>
      </c>
      <c r="B72" s="2" t="s">
        <v>21</v>
      </c>
      <c r="C72" s="2" t="s">
        <v>16</v>
      </c>
      <c r="D72" s="2">
        <v>20</v>
      </c>
      <c r="E72" s="6">
        <v>1650</v>
      </c>
      <c r="F72" s="6">
        <f t="shared" si="1"/>
        <v>33000</v>
      </c>
    </row>
    <row r="73" spans="1:6">
      <c r="A73" s="5">
        <v>46054</v>
      </c>
      <c r="B73" s="2" t="s">
        <v>21</v>
      </c>
      <c r="C73" s="2" t="s">
        <v>17</v>
      </c>
      <c r="D73" s="2">
        <v>7</v>
      </c>
      <c r="E73" s="6">
        <v>4200</v>
      </c>
      <c r="F73" s="6">
        <f t="shared" si="1"/>
        <v>29400</v>
      </c>
    </row>
    <row r="74" spans="1:6">
      <c r="A74" s="5">
        <v>46054</v>
      </c>
      <c r="B74" s="2" t="s">
        <v>21</v>
      </c>
      <c r="C74" s="2" t="s">
        <v>18</v>
      </c>
      <c r="D74" s="2">
        <v>69</v>
      </c>
      <c r="E74" s="6">
        <v>480</v>
      </c>
      <c r="F74" s="6">
        <f t="shared" si="1"/>
        <v>33120</v>
      </c>
    </row>
    <row r="75" spans="1:6">
      <c r="A75" s="5">
        <v>46054</v>
      </c>
      <c r="B75" s="2" t="s">
        <v>22</v>
      </c>
      <c r="C75" s="2" t="s">
        <v>14</v>
      </c>
      <c r="D75" s="2">
        <v>20</v>
      </c>
      <c r="E75" s="6">
        <v>1250</v>
      </c>
      <c r="F75" s="6">
        <f t="shared" si="1"/>
        <v>25000</v>
      </c>
    </row>
    <row r="76" spans="1:6">
      <c r="A76" s="5">
        <v>46054</v>
      </c>
      <c r="B76" s="2" t="s">
        <v>22</v>
      </c>
      <c r="C76" s="2" t="s">
        <v>15</v>
      </c>
      <c r="D76" s="2">
        <v>34</v>
      </c>
      <c r="E76" s="6">
        <v>890</v>
      </c>
      <c r="F76" s="6">
        <f t="shared" si="1"/>
        <v>30260</v>
      </c>
    </row>
    <row r="77" spans="1:6">
      <c r="A77" s="5">
        <v>46054</v>
      </c>
      <c r="B77" s="2" t="s">
        <v>22</v>
      </c>
      <c r="C77" s="2" t="s">
        <v>16</v>
      </c>
      <c r="D77" s="2">
        <v>12</v>
      </c>
      <c r="E77" s="6">
        <v>1650</v>
      </c>
      <c r="F77" s="6">
        <f t="shared" si="1"/>
        <v>19800</v>
      </c>
    </row>
    <row r="78" spans="1:6">
      <c r="A78" s="5">
        <v>46054</v>
      </c>
      <c r="B78" s="2" t="s">
        <v>22</v>
      </c>
      <c r="C78" s="2" t="s">
        <v>17</v>
      </c>
      <c r="D78" s="2">
        <v>5</v>
      </c>
      <c r="E78" s="6">
        <v>4200</v>
      </c>
      <c r="F78" s="6">
        <f t="shared" si="1"/>
        <v>21000</v>
      </c>
    </row>
    <row r="79" spans="1:6">
      <c r="A79" s="5">
        <v>46054</v>
      </c>
      <c r="B79" s="2" t="s">
        <v>22</v>
      </c>
      <c r="C79" s="2" t="s">
        <v>18</v>
      </c>
      <c r="D79" s="2">
        <v>46</v>
      </c>
      <c r="E79" s="6">
        <v>480</v>
      </c>
      <c r="F79" s="6">
        <f t="shared" si="1"/>
        <v>22080</v>
      </c>
    </row>
    <row r="80" spans="1:6">
      <c r="A80" s="5">
        <v>46082</v>
      </c>
      <c r="B80" s="2" t="s">
        <v>20</v>
      </c>
      <c r="C80" s="2" t="s">
        <v>14</v>
      </c>
      <c r="D80" s="2">
        <v>53</v>
      </c>
      <c r="E80" s="6">
        <v>1250</v>
      </c>
      <c r="F80" s="6">
        <f t="shared" si="1"/>
        <v>66250</v>
      </c>
    </row>
    <row r="81" spans="1:6">
      <c r="A81" s="5">
        <v>46082</v>
      </c>
      <c r="B81" s="2" t="s">
        <v>20</v>
      </c>
      <c r="C81" s="2" t="s">
        <v>15</v>
      </c>
      <c r="D81" s="2">
        <v>78</v>
      </c>
      <c r="E81" s="6">
        <v>890</v>
      </c>
      <c r="F81" s="6">
        <f t="shared" si="1"/>
        <v>69420</v>
      </c>
    </row>
    <row r="82" spans="1:6">
      <c r="A82" s="5">
        <v>46082</v>
      </c>
      <c r="B82" s="2" t="s">
        <v>20</v>
      </c>
      <c r="C82" s="2" t="s">
        <v>16</v>
      </c>
      <c r="D82" s="2">
        <v>30</v>
      </c>
      <c r="E82" s="6">
        <v>1650</v>
      </c>
      <c r="F82" s="6">
        <f t="shared" si="1"/>
        <v>49500</v>
      </c>
    </row>
    <row r="83" spans="1:6">
      <c r="A83" s="5">
        <v>46082</v>
      </c>
      <c r="B83" s="2" t="s">
        <v>20</v>
      </c>
      <c r="C83" s="2" t="s">
        <v>17</v>
      </c>
      <c r="D83" s="2">
        <v>10</v>
      </c>
      <c r="E83" s="6">
        <v>4200</v>
      </c>
      <c r="F83" s="6">
        <f t="shared" si="1"/>
        <v>42000</v>
      </c>
    </row>
    <row r="84" spans="1:6">
      <c r="A84" s="5">
        <v>46082</v>
      </c>
      <c r="B84" s="2" t="s">
        <v>20</v>
      </c>
      <c r="C84" s="2" t="s">
        <v>18</v>
      </c>
      <c r="D84" s="2">
        <v>103</v>
      </c>
      <c r="E84" s="6">
        <v>480</v>
      </c>
      <c r="F84" s="6">
        <f t="shared" si="1"/>
        <v>49440</v>
      </c>
    </row>
    <row r="85" spans="1:6">
      <c r="A85" s="5">
        <v>46082</v>
      </c>
      <c r="B85" s="2" t="s">
        <v>21</v>
      </c>
      <c r="C85" s="2" t="s">
        <v>14</v>
      </c>
      <c r="D85" s="2">
        <v>36</v>
      </c>
      <c r="E85" s="6">
        <v>1250</v>
      </c>
      <c r="F85" s="6">
        <f t="shared" si="1"/>
        <v>45000</v>
      </c>
    </row>
    <row r="86" spans="1:6">
      <c r="A86" s="5">
        <v>46082</v>
      </c>
      <c r="B86" s="2" t="s">
        <v>21</v>
      </c>
      <c r="C86" s="2" t="s">
        <v>15</v>
      </c>
      <c r="D86" s="2">
        <v>50</v>
      </c>
      <c r="E86" s="6">
        <v>890</v>
      </c>
      <c r="F86" s="6">
        <f t="shared" si="1"/>
        <v>44500</v>
      </c>
    </row>
    <row r="87" spans="1:6">
      <c r="A87" s="5">
        <v>46082</v>
      </c>
      <c r="B87" s="2" t="s">
        <v>21</v>
      </c>
      <c r="C87" s="2" t="s">
        <v>16</v>
      </c>
      <c r="D87" s="2">
        <v>17</v>
      </c>
      <c r="E87" s="6">
        <v>1650</v>
      </c>
      <c r="F87" s="6">
        <f t="shared" si="1"/>
        <v>28050</v>
      </c>
    </row>
    <row r="88" spans="1:6">
      <c r="A88" s="5">
        <v>46082</v>
      </c>
      <c r="B88" s="2" t="s">
        <v>21</v>
      </c>
      <c r="C88" s="2" t="s">
        <v>17</v>
      </c>
      <c r="D88" s="2">
        <v>9</v>
      </c>
      <c r="E88" s="6">
        <v>4200</v>
      </c>
      <c r="F88" s="6">
        <f t="shared" si="1"/>
        <v>37800</v>
      </c>
    </row>
    <row r="89" spans="1:6">
      <c r="A89" s="5">
        <v>46082</v>
      </c>
      <c r="B89" s="2" t="s">
        <v>21</v>
      </c>
      <c r="C89" s="2" t="s">
        <v>18</v>
      </c>
      <c r="D89" s="2">
        <v>65</v>
      </c>
      <c r="E89" s="6">
        <v>480</v>
      </c>
      <c r="F89" s="6">
        <f t="shared" si="1"/>
        <v>31200</v>
      </c>
    </row>
    <row r="90" spans="1:6">
      <c r="A90" s="5">
        <v>46082</v>
      </c>
      <c r="B90" s="2" t="s">
        <v>22</v>
      </c>
      <c r="C90" s="2" t="s">
        <v>14</v>
      </c>
      <c r="D90" s="2">
        <v>24</v>
      </c>
      <c r="E90" s="6">
        <v>1250</v>
      </c>
      <c r="F90" s="6">
        <f t="shared" si="1"/>
        <v>30000</v>
      </c>
    </row>
    <row r="91" spans="1:6">
      <c r="A91" s="5">
        <v>46082</v>
      </c>
      <c r="B91" s="2" t="s">
        <v>22</v>
      </c>
      <c r="C91" s="2" t="s">
        <v>15</v>
      </c>
      <c r="D91" s="2">
        <v>35</v>
      </c>
      <c r="E91" s="6">
        <v>890</v>
      </c>
      <c r="F91" s="6">
        <f t="shared" si="1"/>
        <v>31150</v>
      </c>
    </row>
    <row r="92" spans="1:6">
      <c r="A92" s="5">
        <v>46082</v>
      </c>
      <c r="B92" s="2" t="s">
        <v>22</v>
      </c>
      <c r="C92" s="2" t="s">
        <v>16</v>
      </c>
      <c r="D92" s="2">
        <v>14</v>
      </c>
      <c r="E92" s="6">
        <v>1650</v>
      </c>
      <c r="F92" s="6">
        <f t="shared" si="1"/>
        <v>23100</v>
      </c>
    </row>
    <row r="93" spans="1:6">
      <c r="A93" s="5">
        <v>46082</v>
      </c>
      <c r="B93" s="2" t="s">
        <v>22</v>
      </c>
      <c r="C93" s="2" t="s">
        <v>17</v>
      </c>
      <c r="D93" s="2">
        <v>4</v>
      </c>
      <c r="E93" s="6">
        <v>4200</v>
      </c>
      <c r="F93" s="6">
        <f t="shared" si="1"/>
        <v>16800</v>
      </c>
    </row>
    <row r="94" spans="1:6">
      <c r="A94" s="5">
        <v>46082</v>
      </c>
      <c r="B94" s="2" t="s">
        <v>22</v>
      </c>
      <c r="C94" s="2" t="s">
        <v>18</v>
      </c>
      <c r="D94" s="2">
        <v>46</v>
      </c>
      <c r="E94" s="6">
        <v>480</v>
      </c>
      <c r="F94" s="6">
        <f t="shared" si="1"/>
        <v>22080</v>
      </c>
    </row>
    <row r="95" spans="1:6">
      <c r="A95" s="5">
        <v>46113</v>
      </c>
      <c r="B95" s="2" t="s">
        <v>20</v>
      </c>
      <c r="C95" s="2" t="s">
        <v>14</v>
      </c>
      <c r="D95" s="2">
        <v>61</v>
      </c>
      <c r="E95" s="6">
        <v>1250</v>
      </c>
      <c r="F95" s="6">
        <f t="shared" si="1"/>
        <v>76250</v>
      </c>
    </row>
    <row r="96" spans="1:6">
      <c r="A96" s="5">
        <v>46113</v>
      </c>
      <c r="B96" s="2" t="s">
        <v>20</v>
      </c>
      <c r="C96" s="2" t="s">
        <v>15</v>
      </c>
      <c r="D96" s="2">
        <v>95</v>
      </c>
      <c r="E96" s="6">
        <v>890</v>
      </c>
      <c r="F96" s="6">
        <f t="shared" si="1"/>
        <v>84550</v>
      </c>
    </row>
    <row r="97" spans="1:6">
      <c r="A97" s="5">
        <v>46113</v>
      </c>
      <c r="B97" s="2" t="s">
        <v>20</v>
      </c>
      <c r="C97" s="2" t="s">
        <v>16</v>
      </c>
      <c r="D97" s="2">
        <v>33</v>
      </c>
      <c r="E97" s="6">
        <v>1650</v>
      </c>
      <c r="F97" s="6">
        <f t="shared" si="1"/>
        <v>54450</v>
      </c>
    </row>
    <row r="98" spans="1:6">
      <c r="A98" s="5">
        <v>46113</v>
      </c>
      <c r="B98" s="2" t="s">
        <v>20</v>
      </c>
      <c r="C98" s="2" t="s">
        <v>17</v>
      </c>
      <c r="D98" s="2">
        <v>13</v>
      </c>
      <c r="E98" s="6">
        <v>4200</v>
      </c>
      <c r="F98" s="6">
        <f t="shared" si="1"/>
        <v>54600</v>
      </c>
    </row>
    <row r="99" spans="1:6">
      <c r="A99" s="5">
        <v>46113</v>
      </c>
      <c r="B99" s="2" t="s">
        <v>20</v>
      </c>
      <c r="C99" s="2" t="s">
        <v>18</v>
      </c>
      <c r="D99" s="2">
        <v>103</v>
      </c>
      <c r="E99" s="6">
        <v>480</v>
      </c>
      <c r="F99" s="6">
        <f t="shared" si="1"/>
        <v>49440</v>
      </c>
    </row>
    <row r="100" spans="1:6">
      <c r="A100" s="5">
        <v>46113</v>
      </c>
      <c r="B100" s="2" t="s">
        <v>21</v>
      </c>
      <c r="C100" s="2" t="s">
        <v>14</v>
      </c>
      <c r="D100" s="2">
        <v>41</v>
      </c>
      <c r="E100" s="6">
        <v>1250</v>
      </c>
      <c r="F100" s="6">
        <f t="shared" si="1"/>
        <v>51250</v>
      </c>
    </row>
    <row r="101" spans="1:6">
      <c r="A101" s="5">
        <v>46113</v>
      </c>
      <c r="B101" s="2" t="s">
        <v>21</v>
      </c>
      <c r="C101" s="2" t="s">
        <v>15</v>
      </c>
      <c r="D101" s="2">
        <v>57</v>
      </c>
      <c r="E101" s="6">
        <v>890</v>
      </c>
      <c r="F101" s="6">
        <f t="shared" si="1"/>
        <v>50730</v>
      </c>
    </row>
    <row r="102" spans="1:6">
      <c r="A102" s="5">
        <v>46113</v>
      </c>
      <c r="B102" s="2" t="s">
        <v>21</v>
      </c>
      <c r="C102" s="2" t="s">
        <v>16</v>
      </c>
      <c r="D102" s="2">
        <v>23</v>
      </c>
      <c r="E102" s="6">
        <v>1650</v>
      </c>
      <c r="F102" s="6">
        <f t="shared" si="1"/>
        <v>37950</v>
      </c>
    </row>
    <row r="103" spans="1:6">
      <c r="A103" s="5">
        <v>46113</v>
      </c>
      <c r="B103" s="2" t="s">
        <v>21</v>
      </c>
      <c r="C103" s="2" t="s">
        <v>17</v>
      </c>
      <c r="D103" s="2">
        <v>10</v>
      </c>
      <c r="E103" s="6">
        <v>4200</v>
      </c>
      <c r="F103" s="6">
        <f t="shared" si="1"/>
        <v>42000</v>
      </c>
    </row>
    <row r="104" spans="1:6">
      <c r="A104" s="5">
        <v>46113</v>
      </c>
      <c r="B104" s="2" t="s">
        <v>21</v>
      </c>
      <c r="C104" s="2" t="s">
        <v>18</v>
      </c>
      <c r="D104" s="2">
        <v>69</v>
      </c>
      <c r="E104" s="6">
        <v>480</v>
      </c>
      <c r="F104" s="6">
        <f t="shared" si="1"/>
        <v>33120</v>
      </c>
    </row>
    <row r="105" spans="1:6">
      <c r="A105" s="5">
        <v>46113</v>
      </c>
      <c r="B105" s="2" t="s">
        <v>22</v>
      </c>
      <c r="C105" s="2" t="s">
        <v>14</v>
      </c>
      <c r="D105" s="2">
        <v>24</v>
      </c>
      <c r="E105" s="6">
        <v>1250</v>
      </c>
      <c r="F105" s="6">
        <f t="shared" si="1"/>
        <v>30000</v>
      </c>
    </row>
    <row r="106" spans="1:6">
      <c r="A106" s="5">
        <v>46113</v>
      </c>
      <c r="B106" s="2" t="s">
        <v>22</v>
      </c>
      <c r="C106" s="2" t="s">
        <v>15</v>
      </c>
      <c r="D106" s="2">
        <v>35</v>
      </c>
      <c r="E106" s="6">
        <v>890</v>
      </c>
      <c r="F106" s="6">
        <f t="shared" si="1"/>
        <v>31150</v>
      </c>
    </row>
    <row r="107" spans="1:6">
      <c r="A107" s="5">
        <v>46113</v>
      </c>
      <c r="B107" s="2" t="s">
        <v>22</v>
      </c>
      <c r="C107" s="2" t="s">
        <v>16</v>
      </c>
      <c r="D107" s="2">
        <v>12</v>
      </c>
      <c r="E107" s="6">
        <v>1650</v>
      </c>
      <c r="F107" s="6">
        <f t="shared" si="1"/>
        <v>19800</v>
      </c>
    </row>
    <row r="108" spans="1:6">
      <c r="A108" s="5">
        <v>46113</v>
      </c>
      <c r="B108" s="2" t="s">
        <v>22</v>
      </c>
      <c r="C108" s="2" t="s">
        <v>17</v>
      </c>
      <c r="D108" s="2">
        <v>5</v>
      </c>
      <c r="E108" s="6">
        <v>4200</v>
      </c>
      <c r="F108" s="6">
        <f t="shared" si="1"/>
        <v>21000</v>
      </c>
    </row>
    <row r="109" spans="1:6">
      <c r="A109" s="5">
        <v>46113</v>
      </c>
      <c r="B109" s="2" t="s">
        <v>22</v>
      </c>
      <c r="C109" s="2" t="s">
        <v>18</v>
      </c>
      <c r="D109" s="2">
        <v>51</v>
      </c>
      <c r="E109" s="6">
        <v>480</v>
      </c>
      <c r="F109" s="6">
        <f t="shared" si="1"/>
        <v>24480</v>
      </c>
    </row>
    <row r="110" spans="1:6">
      <c r="A110" s="5">
        <v>46143</v>
      </c>
      <c r="B110" s="2" t="s">
        <v>20</v>
      </c>
      <c r="C110" s="2" t="s">
        <v>14</v>
      </c>
      <c r="D110" s="2">
        <v>61</v>
      </c>
      <c r="E110" s="6">
        <v>1250</v>
      </c>
      <c r="F110" s="6">
        <f t="shared" si="1"/>
        <v>76250</v>
      </c>
    </row>
    <row r="111" spans="1:6">
      <c r="A111" s="5">
        <v>46143</v>
      </c>
      <c r="B111" s="2" t="s">
        <v>20</v>
      </c>
      <c r="C111" s="2" t="s">
        <v>15</v>
      </c>
      <c r="D111" s="2">
        <v>80</v>
      </c>
      <c r="E111" s="6">
        <v>890</v>
      </c>
      <c r="F111" s="6">
        <f t="shared" si="1"/>
        <v>71200</v>
      </c>
    </row>
    <row r="112" spans="1:6">
      <c r="A112" s="5">
        <v>46143</v>
      </c>
      <c r="B112" s="2" t="s">
        <v>20</v>
      </c>
      <c r="C112" s="2" t="s">
        <v>16</v>
      </c>
      <c r="D112" s="2">
        <v>32</v>
      </c>
      <c r="E112" s="6">
        <v>1650</v>
      </c>
      <c r="F112" s="6">
        <f t="shared" si="1"/>
        <v>52800</v>
      </c>
    </row>
    <row r="113" spans="1:6">
      <c r="A113" s="5">
        <v>46143</v>
      </c>
      <c r="B113" s="2" t="s">
        <v>20</v>
      </c>
      <c r="C113" s="2" t="s">
        <v>17</v>
      </c>
      <c r="D113" s="2">
        <v>13</v>
      </c>
      <c r="E113" s="6">
        <v>4200</v>
      </c>
      <c r="F113" s="6">
        <f t="shared" si="1"/>
        <v>54600</v>
      </c>
    </row>
    <row r="114" spans="1:6">
      <c r="A114" s="5">
        <v>46143</v>
      </c>
      <c r="B114" s="2" t="s">
        <v>20</v>
      </c>
      <c r="C114" s="2" t="s">
        <v>18</v>
      </c>
      <c r="D114" s="2">
        <v>123</v>
      </c>
      <c r="E114" s="6">
        <v>480</v>
      </c>
      <c r="F114" s="6">
        <f t="shared" si="1"/>
        <v>59040</v>
      </c>
    </row>
    <row r="115" spans="1:6">
      <c r="A115" s="5">
        <v>46143</v>
      </c>
      <c r="B115" s="2" t="s">
        <v>21</v>
      </c>
      <c r="C115" s="2" t="s">
        <v>14</v>
      </c>
      <c r="D115" s="2">
        <v>52</v>
      </c>
      <c r="E115" s="6">
        <v>1250</v>
      </c>
      <c r="F115" s="6">
        <f t="shared" si="1"/>
        <v>65000</v>
      </c>
    </row>
    <row r="116" spans="1:6">
      <c r="A116" s="5">
        <v>46143</v>
      </c>
      <c r="B116" s="2" t="s">
        <v>21</v>
      </c>
      <c r="C116" s="2" t="s">
        <v>15</v>
      </c>
      <c r="D116" s="2">
        <v>69</v>
      </c>
      <c r="E116" s="6">
        <v>890</v>
      </c>
      <c r="F116" s="6">
        <f t="shared" si="1"/>
        <v>61410</v>
      </c>
    </row>
    <row r="117" spans="1:6">
      <c r="A117" s="5">
        <v>46143</v>
      </c>
      <c r="B117" s="2" t="s">
        <v>21</v>
      </c>
      <c r="C117" s="2" t="s">
        <v>16</v>
      </c>
      <c r="D117" s="2">
        <v>23</v>
      </c>
      <c r="E117" s="6">
        <v>1650</v>
      </c>
      <c r="F117" s="6">
        <f t="shared" si="1"/>
        <v>37950</v>
      </c>
    </row>
    <row r="118" spans="1:6">
      <c r="A118" s="5">
        <v>46143</v>
      </c>
      <c r="B118" s="2" t="s">
        <v>21</v>
      </c>
      <c r="C118" s="2" t="s">
        <v>17</v>
      </c>
      <c r="D118" s="2">
        <v>10</v>
      </c>
      <c r="E118" s="6">
        <v>4200</v>
      </c>
      <c r="F118" s="6">
        <f t="shared" si="1"/>
        <v>42000</v>
      </c>
    </row>
    <row r="119" spans="1:6">
      <c r="A119" s="5">
        <v>46143</v>
      </c>
      <c r="B119" s="2" t="s">
        <v>21</v>
      </c>
      <c r="C119" s="2" t="s">
        <v>18</v>
      </c>
      <c r="D119" s="2">
        <v>89</v>
      </c>
      <c r="E119" s="6">
        <v>480</v>
      </c>
      <c r="F119" s="6">
        <f t="shared" si="1"/>
        <v>42720</v>
      </c>
    </row>
    <row r="120" spans="1:6">
      <c r="A120" s="5">
        <v>46143</v>
      </c>
      <c r="B120" s="2" t="s">
        <v>22</v>
      </c>
      <c r="C120" s="2" t="s">
        <v>14</v>
      </c>
      <c r="D120" s="2">
        <v>26</v>
      </c>
      <c r="E120" s="6">
        <v>1250</v>
      </c>
      <c r="F120" s="6">
        <f t="shared" si="1"/>
        <v>32500</v>
      </c>
    </row>
    <row r="121" spans="1:6">
      <c r="A121" s="5">
        <v>46143</v>
      </c>
      <c r="B121" s="2" t="s">
        <v>22</v>
      </c>
      <c r="C121" s="2" t="s">
        <v>15</v>
      </c>
      <c r="D121" s="2">
        <v>47</v>
      </c>
      <c r="E121" s="6">
        <v>890</v>
      </c>
      <c r="F121" s="6">
        <f t="shared" si="1"/>
        <v>41830</v>
      </c>
    </row>
    <row r="122" spans="1:6">
      <c r="A122" s="5">
        <v>46143</v>
      </c>
      <c r="B122" s="2" t="s">
        <v>22</v>
      </c>
      <c r="C122" s="2" t="s">
        <v>16</v>
      </c>
      <c r="D122" s="2">
        <v>16</v>
      </c>
      <c r="E122" s="6">
        <v>1650</v>
      </c>
      <c r="F122" s="6">
        <f t="shared" si="1"/>
        <v>26400</v>
      </c>
    </row>
    <row r="123" spans="1:6">
      <c r="A123" s="5">
        <v>46143</v>
      </c>
      <c r="B123" s="2" t="s">
        <v>22</v>
      </c>
      <c r="C123" s="2" t="s">
        <v>17</v>
      </c>
      <c r="D123" s="2">
        <v>7</v>
      </c>
      <c r="E123" s="6">
        <v>4200</v>
      </c>
      <c r="F123" s="6">
        <f t="shared" si="1"/>
        <v>29400</v>
      </c>
    </row>
    <row r="124" spans="1:6">
      <c r="A124" s="5">
        <v>46143</v>
      </c>
      <c r="B124" s="2" t="s">
        <v>22</v>
      </c>
      <c r="C124" s="2" t="s">
        <v>18</v>
      </c>
      <c r="D124" s="2">
        <v>59</v>
      </c>
      <c r="E124" s="6">
        <v>480</v>
      </c>
      <c r="F124" s="6">
        <f t="shared" si="1"/>
        <v>28320</v>
      </c>
    </row>
    <row r="125" spans="1:6">
      <c r="A125" s="5">
        <v>46174</v>
      </c>
      <c r="B125" s="2" t="s">
        <v>20</v>
      </c>
      <c r="C125" s="2" t="s">
        <v>14</v>
      </c>
      <c r="D125" s="2">
        <v>58</v>
      </c>
      <c r="E125" s="6">
        <v>1250</v>
      </c>
      <c r="F125" s="6">
        <f t="shared" si="1"/>
        <v>72500</v>
      </c>
    </row>
    <row r="126" spans="1:6">
      <c r="A126" s="5">
        <v>46174</v>
      </c>
      <c r="B126" s="2" t="s">
        <v>20</v>
      </c>
      <c r="C126" s="2" t="s">
        <v>15</v>
      </c>
      <c r="D126" s="2">
        <v>82</v>
      </c>
      <c r="E126" s="6">
        <v>890</v>
      </c>
      <c r="F126" s="6">
        <f t="shared" si="1"/>
        <v>72980</v>
      </c>
    </row>
    <row r="127" spans="1:6">
      <c r="A127" s="5">
        <v>46174</v>
      </c>
      <c r="B127" s="2" t="s">
        <v>20</v>
      </c>
      <c r="C127" s="2" t="s">
        <v>16</v>
      </c>
      <c r="D127" s="2">
        <v>26</v>
      </c>
      <c r="E127" s="6">
        <v>1650</v>
      </c>
      <c r="F127" s="6">
        <f t="shared" si="1"/>
        <v>42900</v>
      </c>
    </row>
    <row r="128" spans="1:6">
      <c r="A128" s="5">
        <v>46174</v>
      </c>
      <c r="B128" s="2" t="s">
        <v>20</v>
      </c>
      <c r="C128" s="2" t="s">
        <v>17</v>
      </c>
      <c r="D128" s="2">
        <v>12</v>
      </c>
      <c r="E128" s="6">
        <v>4200</v>
      </c>
      <c r="F128" s="6">
        <f t="shared" si="1"/>
        <v>50400</v>
      </c>
    </row>
    <row r="129" spans="1:6">
      <c r="A129" s="5">
        <v>46174</v>
      </c>
      <c r="B129" s="2" t="s">
        <v>20</v>
      </c>
      <c r="C129" s="2" t="s">
        <v>18</v>
      </c>
      <c r="D129" s="2">
        <v>96</v>
      </c>
      <c r="E129" s="6">
        <v>480</v>
      </c>
      <c r="F129" s="6">
        <f t="shared" si="1"/>
        <v>46080</v>
      </c>
    </row>
    <row r="130" spans="1:6">
      <c r="A130" s="5">
        <v>46174</v>
      </c>
      <c r="B130" s="2" t="s">
        <v>21</v>
      </c>
      <c r="C130" s="2" t="s">
        <v>14</v>
      </c>
      <c r="D130" s="2">
        <v>37</v>
      </c>
      <c r="E130" s="6">
        <v>1250</v>
      </c>
      <c r="F130" s="6">
        <f t="shared" si="1"/>
        <v>46250</v>
      </c>
    </row>
    <row r="131" spans="1:6">
      <c r="A131" s="5">
        <v>46174</v>
      </c>
      <c r="B131" s="2" t="s">
        <v>21</v>
      </c>
      <c r="C131" s="2" t="s">
        <v>15</v>
      </c>
      <c r="D131" s="2">
        <v>54</v>
      </c>
      <c r="E131" s="6">
        <v>890</v>
      </c>
      <c r="F131" s="6">
        <f t="shared" si="1"/>
        <v>48060</v>
      </c>
    </row>
    <row r="132" spans="1:6">
      <c r="A132" s="5">
        <v>46174</v>
      </c>
      <c r="B132" s="2" t="s">
        <v>21</v>
      </c>
      <c r="C132" s="2" t="s">
        <v>16</v>
      </c>
      <c r="D132" s="2">
        <v>19</v>
      </c>
      <c r="E132" s="6">
        <v>1650</v>
      </c>
      <c r="F132" s="6">
        <f t="shared" si="1"/>
        <v>31350</v>
      </c>
    </row>
    <row r="133" spans="1:6">
      <c r="A133" s="5">
        <v>46174</v>
      </c>
      <c r="B133" s="2" t="s">
        <v>21</v>
      </c>
      <c r="C133" s="2" t="s">
        <v>17</v>
      </c>
      <c r="D133" s="2">
        <v>8</v>
      </c>
      <c r="E133" s="6">
        <v>4200</v>
      </c>
      <c r="F133" s="6">
        <f t="shared" ref="F133:F184" si="2">D133*E133</f>
        <v>33600</v>
      </c>
    </row>
    <row r="134" spans="1:6">
      <c r="A134" s="5">
        <v>46174</v>
      </c>
      <c r="B134" s="2" t="s">
        <v>21</v>
      </c>
      <c r="C134" s="2" t="s">
        <v>18</v>
      </c>
      <c r="D134" s="2">
        <v>67</v>
      </c>
      <c r="E134" s="6">
        <v>480</v>
      </c>
      <c r="F134" s="6">
        <f t="shared" si="2"/>
        <v>32160</v>
      </c>
    </row>
    <row r="135" spans="1:6">
      <c r="A135" s="5">
        <v>46174</v>
      </c>
      <c r="B135" s="2" t="s">
        <v>22</v>
      </c>
      <c r="C135" s="2" t="s">
        <v>14</v>
      </c>
      <c r="D135" s="2">
        <v>23</v>
      </c>
      <c r="E135" s="6">
        <v>1250</v>
      </c>
      <c r="F135" s="6">
        <f t="shared" si="2"/>
        <v>28750</v>
      </c>
    </row>
    <row r="136" spans="1:6">
      <c r="A136" s="5">
        <v>46174</v>
      </c>
      <c r="B136" s="2" t="s">
        <v>22</v>
      </c>
      <c r="C136" s="2" t="s">
        <v>15</v>
      </c>
      <c r="D136" s="2">
        <v>34</v>
      </c>
      <c r="E136" s="6">
        <v>890</v>
      </c>
      <c r="F136" s="6">
        <f t="shared" si="2"/>
        <v>30260</v>
      </c>
    </row>
    <row r="137" spans="1:6">
      <c r="A137" s="5">
        <v>46174</v>
      </c>
      <c r="B137" s="2" t="s">
        <v>22</v>
      </c>
      <c r="C137" s="2" t="s">
        <v>16</v>
      </c>
      <c r="D137" s="2">
        <v>12</v>
      </c>
      <c r="E137" s="6">
        <v>1650</v>
      </c>
      <c r="F137" s="6">
        <f t="shared" si="2"/>
        <v>19800</v>
      </c>
    </row>
    <row r="138" spans="1:6">
      <c r="A138" s="5">
        <v>46174</v>
      </c>
      <c r="B138" s="2" t="s">
        <v>22</v>
      </c>
      <c r="C138" s="2" t="s">
        <v>17</v>
      </c>
      <c r="D138" s="2">
        <v>5</v>
      </c>
      <c r="E138" s="6">
        <v>4200</v>
      </c>
      <c r="F138" s="6">
        <f t="shared" si="2"/>
        <v>21000</v>
      </c>
    </row>
    <row r="139" spans="1:6">
      <c r="A139" s="5">
        <v>46174</v>
      </c>
      <c r="B139" s="2" t="s">
        <v>22</v>
      </c>
      <c r="C139" s="2" t="s">
        <v>18</v>
      </c>
      <c r="D139" s="2">
        <v>42</v>
      </c>
      <c r="E139" s="6">
        <v>480</v>
      </c>
      <c r="F139" s="6">
        <f t="shared" si="2"/>
        <v>20160</v>
      </c>
    </row>
    <row r="140" spans="1:6">
      <c r="A140" s="5">
        <v>46204</v>
      </c>
      <c r="B140" s="2" t="s">
        <v>20</v>
      </c>
      <c r="C140" s="2" t="s">
        <v>14</v>
      </c>
      <c r="D140" s="2">
        <v>63</v>
      </c>
      <c r="E140" s="6">
        <v>1250</v>
      </c>
      <c r="F140" s="6">
        <f t="shared" si="2"/>
        <v>78750</v>
      </c>
    </row>
    <row r="141" spans="1:6">
      <c r="A141" s="5">
        <v>46204</v>
      </c>
      <c r="B141" s="2" t="s">
        <v>20</v>
      </c>
      <c r="C141" s="2" t="s">
        <v>15</v>
      </c>
      <c r="D141" s="2">
        <v>84</v>
      </c>
      <c r="E141" s="6">
        <v>890</v>
      </c>
      <c r="F141" s="6">
        <f t="shared" si="2"/>
        <v>74760</v>
      </c>
    </row>
    <row r="142" spans="1:6">
      <c r="A142" s="5">
        <v>46204</v>
      </c>
      <c r="B142" s="2" t="s">
        <v>20</v>
      </c>
      <c r="C142" s="2" t="s">
        <v>16</v>
      </c>
      <c r="D142" s="2">
        <v>25</v>
      </c>
      <c r="E142" s="6">
        <v>1650</v>
      </c>
      <c r="F142" s="6">
        <f t="shared" si="2"/>
        <v>41250</v>
      </c>
    </row>
    <row r="143" spans="1:6">
      <c r="A143" s="5">
        <v>46204</v>
      </c>
      <c r="B143" s="2" t="s">
        <v>20</v>
      </c>
      <c r="C143" s="2" t="s">
        <v>17</v>
      </c>
      <c r="D143" s="2">
        <v>11</v>
      </c>
      <c r="E143" s="6">
        <v>4200</v>
      </c>
      <c r="F143" s="6">
        <f t="shared" si="2"/>
        <v>46200</v>
      </c>
    </row>
    <row r="144" spans="1:6">
      <c r="A144" s="5">
        <v>46204</v>
      </c>
      <c r="B144" s="2" t="s">
        <v>20</v>
      </c>
      <c r="C144" s="2" t="s">
        <v>18</v>
      </c>
      <c r="D144" s="2">
        <v>100</v>
      </c>
      <c r="E144" s="6">
        <v>480</v>
      </c>
      <c r="F144" s="6">
        <f t="shared" si="2"/>
        <v>48000</v>
      </c>
    </row>
    <row r="145" spans="1:6">
      <c r="A145" s="5">
        <v>46204</v>
      </c>
      <c r="B145" s="2" t="s">
        <v>21</v>
      </c>
      <c r="C145" s="2" t="s">
        <v>14</v>
      </c>
      <c r="D145" s="2">
        <v>38</v>
      </c>
      <c r="E145" s="6">
        <v>1250</v>
      </c>
      <c r="F145" s="6">
        <f t="shared" si="2"/>
        <v>47500</v>
      </c>
    </row>
    <row r="146" spans="1:6">
      <c r="A146" s="5">
        <v>46204</v>
      </c>
      <c r="B146" s="2" t="s">
        <v>21</v>
      </c>
      <c r="C146" s="2" t="s">
        <v>15</v>
      </c>
      <c r="D146" s="2">
        <v>50</v>
      </c>
      <c r="E146" s="6">
        <v>890</v>
      </c>
      <c r="F146" s="6">
        <f t="shared" si="2"/>
        <v>44500</v>
      </c>
    </row>
    <row r="147" spans="1:6">
      <c r="A147" s="5">
        <v>46204</v>
      </c>
      <c r="B147" s="2" t="s">
        <v>21</v>
      </c>
      <c r="C147" s="2" t="s">
        <v>16</v>
      </c>
      <c r="D147" s="2">
        <v>22</v>
      </c>
      <c r="E147" s="6">
        <v>1650</v>
      </c>
      <c r="F147" s="6">
        <f t="shared" si="2"/>
        <v>36300</v>
      </c>
    </row>
    <row r="148" spans="1:6">
      <c r="A148" s="5">
        <v>46204</v>
      </c>
      <c r="B148" s="2" t="s">
        <v>21</v>
      </c>
      <c r="C148" s="2" t="s">
        <v>17</v>
      </c>
      <c r="D148" s="2">
        <v>9</v>
      </c>
      <c r="E148" s="6">
        <v>4200</v>
      </c>
      <c r="F148" s="6">
        <f t="shared" si="2"/>
        <v>37800</v>
      </c>
    </row>
    <row r="149" spans="1:6">
      <c r="A149" s="5">
        <v>46204</v>
      </c>
      <c r="B149" s="2" t="s">
        <v>21</v>
      </c>
      <c r="C149" s="2" t="s">
        <v>18</v>
      </c>
      <c r="D149" s="2">
        <v>72</v>
      </c>
      <c r="E149" s="6">
        <v>480</v>
      </c>
      <c r="F149" s="6">
        <f t="shared" si="2"/>
        <v>34560</v>
      </c>
    </row>
    <row r="150" spans="1:6">
      <c r="A150" s="5">
        <v>46204</v>
      </c>
      <c r="B150" s="2" t="s">
        <v>22</v>
      </c>
      <c r="C150" s="2" t="s">
        <v>14</v>
      </c>
      <c r="D150" s="2">
        <v>26</v>
      </c>
      <c r="E150" s="6">
        <v>1250</v>
      </c>
      <c r="F150" s="6">
        <f t="shared" si="2"/>
        <v>32500</v>
      </c>
    </row>
    <row r="151" spans="1:6">
      <c r="A151" s="5">
        <v>46204</v>
      </c>
      <c r="B151" s="2" t="s">
        <v>22</v>
      </c>
      <c r="C151" s="2" t="s">
        <v>15</v>
      </c>
      <c r="D151" s="2">
        <v>32</v>
      </c>
      <c r="E151" s="6">
        <v>890</v>
      </c>
      <c r="F151" s="6">
        <f t="shared" si="2"/>
        <v>28480</v>
      </c>
    </row>
    <row r="152" spans="1:6">
      <c r="A152" s="5">
        <v>46204</v>
      </c>
      <c r="B152" s="2" t="s">
        <v>22</v>
      </c>
      <c r="C152" s="2" t="s">
        <v>16</v>
      </c>
      <c r="D152" s="2">
        <v>11</v>
      </c>
      <c r="E152" s="6">
        <v>1650</v>
      </c>
      <c r="F152" s="6">
        <f t="shared" si="2"/>
        <v>18150</v>
      </c>
    </row>
    <row r="153" spans="1:6">
      <c r="A153" s="5">
        <v>46204</v>
      </c>
      <c r="B153" s="2" t="s">
        <v>22</v>
      </c>
      <c r="C153" s="2" t="s">
        <v>17</v>
      </c>
      <c r="D153" s="2">
        <v>5</v>
      </c>
      <c r="E153" s="6">
        <v>4200</v>
      </c>
      <c r="F153" s="6">
        <f t="shared" si="2"/>
        <v>21000</v>
      </c>
    </row>
    <row r="154" spans="1:6">
      <c r="A154" s="5">
        <v>46204</v>
      </c>
      <c r="B154" s="2" t="s">
        <v>22</v>
      </c>
      <c r="C154" s="2" t="s">
        <v>18</v>
      </c>
      <c r="D154" s="2">
        <v>44</v>
      </c>
      <c r="E154" s="6">
        <v>480</v>
      </c>
      <c r="F154" s="6">
        <f t="shared" si="2"/>
        <v>21120</v>
      </c>
    </row>
    <row r="155" spans="1:6">
      <c r="A155" s="5">
        <v>46235</v>
      </c>
      <c r="B155" s="2" t="s">
        <v>20</v>
      </c>
      <c r="C155" s="2" t="s">
        <v>14</v>
      </c>
      <c r="D155" s="2">
        <v>69</v>
      </c>
      <c r="E155" s="6">
        <v>1250</v>
      </c>
      <c r="F155" s="6">
        <f t="shared" si="2"/>
        <v>86250</v>
      </c>
    </row>
    <row r="156" spans="1:6">
      <c r="A156" s="5">
        <v>46235</v>
      </c>
      <c r="B156" s="2" t="s">
        <v>20</v>
      </c>
      <c r="C156" s="2" t="s">
        <v>15</v>
      </c>
      <c r="D156" s="2">
        <v>80</v>
      </c>
      <c r="E156" s="6">
        <v>890</v>
      </c>
      <c r="F156" s="6">
        <f t="shared" si="2"/>
        <v>71200</v>
      </c>
    </row>
    <row r="157" spans="1:6">
      <c r="A157" s="5">
        <v>46235</v>
      </c>
      <c r="B157" s="2" t="s">
        <v>20</v>
      </c>
      <c r="C157" s="2" t="s">
        <v>16</v>
      </c>
      <c r="D157" s="2">
        <v>27</v>
      </c>
      <c r="E157" s="6">
        <v>1650</v>
      </c>
      <c r="F157" s="6">
        <f t="shared" si="2"/>
        <v>44550</v>
      </c>
    </row>
    <row r="158" spans="1:6">
      <c r="A158" s="5">
        <v>46235</v>
      </c>
      <c r="B158" s="2" t="s">
        <v>20</v>
      </c>
      <c r="C158" s="2" t="s">
        <v>17</v>
      </c>
      <c r="D158" s="2">
        <v>14</v>
      </c>
      <c r="E158" s="6">
        <v>4200</v>
      </c>
      <c r="F158" s="6">
        <f t="shared" si="2"/>
        <v>58800</v>
      </c>
    </row>
    <row r="159" spans="1:6">
      <c r="A159" s="5">
        <v>46235</v>
      </c>
      <c r="B159" s="2" t="s">
        <v>20</v>
      </c>
      <c r="C159" s="2" t="s">
        <v>18</v>
      </c>
      <c r="D159" s="2">
        <v>116</v>
      </c>
      <c r="E159" s="6">
        <v>480</v>
      </c>
      <c r="F159" s="6">
        <f t="shared" si="2"/>
        <v>55680</v>
      </c>
    </row>
    <row r="160" spans="1:6">
      <c r="A160" s="5">
        <v>46235</v>
      </c>
      <c r="B160" s="2" t="s">
        <v>21</v>
      </c>
      <c r="C160" s="2" t="s">
        <v>14</v>
      </c>
      <c r="D160" s="2">
        <v>39</v>
      </c>
      <c r="E160" s="6">
        <v>1250</v>
      </c>
      <c r="F160" s="6">
        <f t="shared" si="2"/>
        <v>48750</v>
      </c>
    </row>
    <row r="161" spans="1:6">
      <c r="A161" s="5">
        <v>46235</v>
      </c>
      <c r="B161" s="2" t="s">
        <v>21</v>
      </c>
      <c r="C161" s="2" t="s">
        <v>15</v>
      </c>
      <c r="D161" s="2">
        <v>63</v>
      </c>
      <c r="E161" s="6">
        <v>890</v>
      </c>
      <c r="F161" s="6">
        <f t="shared" si="2"/>
        <v>56070</v>
      </c>
    </row>
    <row r="162" spans="1:6">
      <c r="A162" s="5">
        <v>46235</v>
      </c>
      <c r="B162" s="2" t="s">
        <v>21</v>
      </c>
      <c r="C162" s="2" t="s">
        <v>16</v>
      </c>
      <c r="D162" s="2">
        <v>19</v>
      </c>
      <c r="E162" s="6">
        <v>1650</v>
      </c>
      <c r="F162" s="6">
        <f t="shared" si="2"/>
        <v>31350</v>
      </c>
    </row>
    <row r="163" spans="1:6">
      <c r="A163" s="5">
        <v>46235</v>
      </c>
      <c r="B163" s="2" t="s">
        <v>21</v>
      </c>
      <c r="C163" s="2" t="s">
        <v>17</v>
      </c>
      <c r="D163" s="2">
        <v>9</v>
      </c>
      <c r="E163" s="6">
        <v>4200</v>
      </c>
      <c r="F163" s="6">
        <f t="shared" si="2"/>
        <v>37800</v>
      </c>
    </row>
    <row r="164" spans="1:6">
      <c r="A164" s="5">
        <v>46235</v>
      </c>
      <c r="B164" s="2" t="s">
        <v>21</v>
      </c>
      <c r="C164" s="2" t="s">
        <v>18</v>
      </c>
      <c r="D164" s="2">
        <v>92</v>
      </c>
      <c r="E164" s="6">
        <v>480</v>
      </c>
      <c r="F164" s="6">
        <f t="shared" si="2"/>
        <v>44160</v>
      </c>
    </row>
    <row r="165" spans="1:6">
      <c r="A165" s="5">
        <v>46235</v>
      </c>
      <c r="B165" s="2" t="s">
        <v>22</v>
      </c>
      <c r="C165" s="2" t="s">
        <v>14</v>
      </c>
      <c r="D165" s="2">
        <v>31</v>
      </c>
      <c r="E165" s="6">
        <v>1250</v>
      </c>
      <c r="F165" s="6">
        <f t="shared" si="2"/>
        <v>38750</v>
      </c>
    </row>
    <row r="166" spans="1:6">
      <c r="A166" s="5">
        <v>46235</v>
      </c>
      <c r="B166" s="2" t="s">
        <v>22</v>
      </c>
      <c r="C166" s="2" t="s">
        <v>15</v>
      </c>
      <c r="D166" s="2">
        <v>43</v>
      </c>
      <c r="E166" s="6">
        <v>890</v>
      </c>
      <c r="F166" s="6">
        <f t="shared" si="2"/>
        <v>38270</v>
      </c>
    </row>
    <row r="167" spans="1:6">
      <c r="A167" s="5">
        <v>46235</v>
      </c>
      <c r="B167" s="2" t="s">
        <v>22</v>
      </c>
      <c r="C167" s="2" t="s">
        <v>16</v>
      </c>
      <c r="D167" s="2">
        <v>13</v>
      </c>
      <c r="E167" s="6">
        <v>1650</v>
      </c>
      <c r="F167" s="6">
        <f t="shared" si="2"/>
        <v>21450</v>
      </c>
    </row>
    <row r="168" spans="1:6">
      <c r="A168" s="5">
        <v>46235</v>
      </c>
      <c r="B168" s="2" t="s">
        <v>22</v>
      </c>
      <c r="C168" s="2" t="s">
        <v>17</v>
      </c>
      <c r="D168" s="2">
        <v>5</v>
      </c>
      <c r="E168" s="6">
        <v>4200</v>
      </c>
      <c r="F168" s="6">
        <f t="shared" si="2"/>
        <v>21000</v>
      </c>
    </row>
    <row r="169" spans="1:6">
      <c r="A169" s="5">
        <v>46235</v>
      </c>
      <c r="B169" s="2" t="s">
        <v>22</v>
      </c>
      <c r="C169" s="2" t="s">
        <v>18</v>
      </c>
      <c r="D169" s="2">
        <v>47</v>
      </c>
      <c r="E169" s="6">
        <v>480</v>
      </c>
      <c r="F169" s="6">
        <f t="shared" si="2"/>
        <v>22560</v>
      </c>
    </row>
    <row r="170" spans="1:6">
      <c r="A170" s="5">
        <v>46266</v>
      </c>
      <c r="B170" s="2" t="s">
        <v>20</v>
      </c>
      <c r="C170" s="2" t="s">
        <v>14</v>
      </c>
      <c r="D170" s="2">
        <v>75</v>
      </c>
      <c r="E170" s="6">
        <v>1250</v>
      </c>
      <c r="F170" s="6">
        <f t="shared" si="2"/>
        <v>93750</v>
      </c>
    </row>
    <row r="171" spans="1:6">
      <c r="A171" s="5">
        <v>46266</v>
      </c>
      <c r="B171" s="2" t="s">
        <v>20</v>
      </c>
      <c r="C171" s="2" t="s">
        <v>15</v>
      </c>
      <c r="D171" s="2">
        <v>99</v>
      </c>
      <c r="E171" s="6">
        <v>890</v>
      </c>
      <c r="F171" s="6">
        <f t="shared" si="2"/>
        <v>88110</v>
      </c>
    </row>
    <row r="172" spans="1:6">
      <c r="A172" s="5">
        <v>46266</v>
      </c>
      <c r="B172" s="2" t="s">
        <v>20</v>
      </c>
      <c r="C172" s="2" t="s">
        <v>16</v>
      </c>
      <c r="D172" s="2">
        <v>37</v>
      </c>
      <c r="E172" s="6">
        <v>1650</v>
      </c>
      <c r="F172" s="6">
        <f t="shared" si="2"/>
        <v>61050</v>
      </c>
    </row>
    <row r="173" spans="1:6">
      <c r="A173" s="5">
        <v>46266</v>
      </c>
      <c r="B173" s="2" t="s">
        <v>20</v>
      </c>
      <c r="C173" s="2" t="s">
        <v>17</v>
      </c>
      <c r="D173" s="2">
        <v>13</v>
      </c>
      <c r="E173" s="6">
        <v>4200</v>
      </c>
      <c r="F173" s="6">
        <f t="shared" si="2"/>
        <v>54600</v>
      </c>
    </row>
    <row r="174" spans="1:6">
      <c r="A174" s="5">
        <v>46266</v>
      </c>
      <c r="B174" s="2" t="s">
        <v>20</v>
      </c>
      <c r="C174" s="2" t="s">
        <v>18</v>
      </c>
      <c r="D174" s="2">
        <v>116</v>
      </c>
      <c r="E174" s="6">
        <v>480</v>
      </c>
      <c r="F174" s="6">
        <f t="shared" si="2"/>
        <v>55680</v>
      </c>
    </row>
    <row r="175" spans="1:6">
      <c r="A175" s="5">
        <v>46266</v>
      </c>
      <c r="B175" s="2" t="s">
        <v>21</v>
      </c>
      <c r="C175" s="2" t="s">
        <v>14</v>
      </c>
      <c r="D175" s="2">
        <v>53</v>
      </c>
      <c r="E175" s="6">
        <v>1250</v>
      </c>
      <c r="F175" s="6">
        <f t="shared" si="2"/>
        <v>66250</v>
      </c>
    </row>
    <row r="176" spans="1:6">
      <c r="A176" s="5">
        <v>46266</v>
      </c>
      <c r="B176" s="2" t="s">
        <v>21</v>
      </c>
      <c r="C176" s="2" t="s">
        <v>15</v>
      </c>
      <c r="D176" s="2">
        <v>78</v>
      </c>
      <c r="E176" s="6">
        <v>890</v>
      </c>
      <c r="F176" s="6">
        <f t="shared" si="2"/>
        <v>69420</v>
      </c>
    </row>
    <row r="177" spans="1:6">
      <c r="A177" s="5">
        <v>46266</v>
      </c>
      <c r="B177" s="2" t="s">
        <v>21</v>
      </c>
      <c r="C177" s="2" t="s">
        <v>16</v>
      </c>
      <c r="D177" s="2">
        <v>27</v>
      </c>
      <c r="E177" s="6">
        <v>1650</v>
      </c>
      <c r="F177" s="6">
        <f t="shared" si="2"/>
        <v>44550</v>
      </c>
    </row>
    <row r="178" spans="1:6">
      <c r="A178" s="5">
        <v>46266</v>
      </c>
      <c r="B178" s="2" t="s">
        <v>21</v>
      </c>
      <c r="C178" s="2" t="s">
        <v>17</v>
      </c>
      <c r="D178" s="2">
        <v>11</v>
      </c>
      <c r="E178" s="6">
        <v>4200</v>
      </c>
      <c r="F178" s="6">
        <f t="shared" si="2"/>
        <v>46200</v>
      </c>
    </row>
    <row r="179" spans="1:6">
      <c r="A179" s="5">
        <v>46266</v>
      </c>
      <c r="B179" s="2" t="s">
        <v>21</v>
      </c>
      <c r="C179" s="2" t="s">
        <v>18</v>
      </c>
      <c r="D179" s="2">
        <v>97</v>
      </c>
      <c r="E179" s="6">
        <v>480</v>
      </c>
      <c r="F179" s="6">
        <f t="shared" si="2"/>
        <v>46560</v>
      </c>
    </row>
    <row r="180" spans="1:6">
      <c r="A180" s="5">
        <v>46266</v>
      </c>
      <c r="B180" s="2" t="s">
        <v>22</v>
      </c>
      <c r="C180" s="2" t="s">
        <v>14</v>
      </c>
      <c r="D180" s="2">
        <v>33</v>
      </c>
      <c r="E180" s="6">
        <v>1250</v>
      </c>
      <c r="F180" s="6">
        <f t="shared" si="2"/>
        <v>41250</v>
      </c>
    </row>
    <row r="181" spans="1:6">
      <c r="A181" s="5">
        <v>46266</v>
      </c>
      <c r="B181" s="2" t="s">
        <v>22</v>
      </c>
      <c r="C181" s="2" t="s">
        <v>15</v>
      </c>
      <c r="D181" s="2">
        <v>40</v>
      </c>
      <c r="E181" s="6">
        <v>890</v>
      </c>
      <c r="F181" s="6">
        <f t="shared" si="2"/>
        <v>35600</v>
      </c>
    </row>
    <row r="182" spans="1:6">
      <c r="A182" s="5">
        <v>46266</v>
      </c>
      <c r="B182" s="2" t="s">
        <v>22</v>
      </c>
      <c r="C182" s="2" t="s">
        <v>16</v>
      </c>
      <c r="D182" s="2">
        <v>16</v>
      </c>
      <c r="E182" s="6">
        <v>1650</v>
      </c>
      <c r="F182" s="6">
        <f t="shared" si="2"/>
        <v>26400</v>
      </c>
    </row>
    <row r="183" spans="1:6">
      <c r="A183" s="5">
        <v>46266</v>
      </c>
      <c r="B183" s="2" t="s">
        <v>22</v>
      </c>
      <c r="C183" s="2" t="s">
        <v>17</v>
      </c>
      <c r="D183" s="2">
        <v>6</v>
      </c>
      <c r="E183" s="6">
        <v>4200</v>
      </c>
      <c r="F183" s="6">
        <f t="shared" si="2"/>
        <v>25200</v>
      </c>
    </row>
    <row r="184" spans="1:6">
      <c r="A184" s="5">
        <v>46266</v>
      </c>
      <c r="B184" s="2" t="s">
        <v>22</v>
      </c>
      <c r="C184" s="2" t="s">
        <v>18</v>
      </c>
      <c r="D184" s="2">
        <v>49</v>
      </c>
      <c r="E184" s="6">
        <v>480</v>
      </c>
      <c r="F184" s="6">
        <f t="shared" si="2"/>
        <v>23520</v>
      </c>
    </row>
  </sheetData>
  <autoFilter xmlns:etc="http://www.wps.cn/officeDocument/2017/etCustomData" ref="A4:F18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0BD879944EB24D40B88D1ED96259A381_12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