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workbookProtection workbookAlgorithmName="SHA-512" workbookHashValue="5GfkPf7MadITjoX/dT7OWSs/lUicUZUmNIjDmC/3RtJpEwq8E/M6g8HVkszI24iXijsmzvOc0G8KgKjJbrEXsg==" workbookSaltValue="TkIO+Dm7kRWg8VmEvM0t4g==" workbookSpinCount="100000" lockStructure="1"/>
  <bookViews>
    <workbookView/>
  </bookViews>
  <sheets>
    <sheet name="How it works" sheetId="1" r:id="rId1"/>
    <sheet name="Rates" sheetId="2" r:id="rId2"/>
    <sheet name="Products" sheetId="3" r:id="rId3"/>
    <sheet name="Orders" sheetId="4" r:id="rId4"/>
    <sheet name="Ads" sheetId="5" r:id="rId5"/>
    <sheet name="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<sst xmlns="http://schemas.openxmlformats.org/spreadsheetml/2006/main" count="384" uniqueCount="137">
  <si>
    <t>Luna &amp; Lace: Monthly Profitability Tracker (September 2026)</t>
  </si>
  <si>
    <t>Fictional fashion dropshipping store selling in the US, Canada and UK. All data is made up.</t>
  </si>
  <si>
    <t/>
  </si>
  <si>
    <t>Teal headers = data that comes in from Shopify, the ad platforms and the supplier.</t>
  </si>
  <si>
    <t>Orange headers = calculated with formulas. Flagged orders are highlighted in red on the Orders sheet.</t>
  </si>
  <si>
    <t>Definitions used in this tracker (all reported in USD):</t>
  </si>
  <si>
    <t>Gross Sales = Unit Price x Qty</t>
  </si>
  <si>
    <t>Net Revenue = Gross Sales - Discount - Refund - Chargeback</t>
  </si>
  <si>
    <t>COGS = (Supplier Cost + Shipping) x Qty. Refunded items keep their COGS: in dropshipping the supplier is not paid back.</t>
  </si>
  <si>
    <t>Gross Profit = Net Revenue - COGS</t>
  </si>
  <si>
    <t>Net Profit = Gross Profit - Payment Fees - Ad Spend</t>
  </si>
  <si>
    <t>Profit Margin = Net Profit / Net Revenue</t>
  </si>
  <si>
    <t>ROAS (return on ad spend) = Net Revenue / Ad Spend</t>
  </si>
  <si>
    <t>POAS (profit on ad spend) = Gross Profit / Ad Spend</t>
  </si>
  <si>
    <t>Currency: every local amount is converted with the rate on the Rates sheet (1 unit of currency = X USD).</t>
  </si>
  <si>
    <t>Discrepancies: any order that fails a check gets a Flag. Flagged orders are left OUT of the Summary until someone confirms them.</t>
  </si>
  <si>
    <t>Currency</t>
  </si>
  <si>
    <t>Rate to USD</t>
  </si>
  <si>
    <t>Note</t>
  </si>
  <si>
    <t>USD</t>
  </si>
  <si>
    <t>Fictional fixed rate for September 2026</t>
  </si>
  <si>
    <t>CAD</t>
  </si>
  <si>
    <t>GBP</t>
  </si>
  <si>
    <t>SKU</t>
  </si>
  <si>
    <t>Product</t>
  </si>
  <si>
    <t>Supplier Cost (USD)</t>
  </si>
  <si>
    <t>Shipping (USD)</t>
  </si>
  <si>
    <t>Price USD</t>
  </si>
  <si>
    <t>Price CAD</t>
  </si>
  <si>
    <t>Price GBP</t>
  </si>
  <si>
    <t>LL-101</t>
  </si>
  <si>
    <t>Linen Wrap Dress</t>
  </si>
  <si>
    <t>LL-102</t>
  </si>
  <si>
    <t>Satin Slip Skirt</t>
  </si>
  <si>
    <t>LL-103</t>
  </si>
  <si>
    <t>Oversized Knit Cardigan</t>
  </si>
  <si>
    <t>LL-104</t>
  </si>
  <si>
    <t>Wide-Leg Trousers</t>
  </si>
  <si>
    <t>LL-105</t>
  </si>
  <si>
    <t>Ribbed Crop Top</t>
  </si>
  <si>
    <t>LL-106</t>
  </si>
  <si>
    <t>Faux Leather Tote</t>
  </si>
  <si>
    <t>Order ID</t>
  </si>
  <si>
    <t>Date</t>
  </si>
  <si>
    <t>Market</t>
  </si>
  <si>
    <t>Qty</t>
  </si>
  <si>
    <t>Unit Price (local)</t>
  </si>
  <si>
    <t>Discount (local)</t>
  </si>
  <si>
    <t>Refund (local)</t>
  </si>
  <si>
    <t>Chargeback (local)</t>
  </si>
  <si>
    <t>Payment Fee (local)</t>
  </si>
  <si>
    <t>Gross Sales (local)</t>
  </si>
  <si>
    <t>Net Revenue (local)</t>
  </si>
  <si>
    <t>Net Revenue (USD)</t>
  </si>
  <si>
    <t>COGS (USD)</t>
  </si>
  <si>
    <t>Payment Fee (USD)</t>
  </si>
  <si>
    <t>Gross Profit (USD)</t>
  </si>
  <si>
    <t>Flag</t>
  </si>
  <si>
    <t>LL-1001</t>
  </si>
  <si>
    <t>US</t>
  </si>
  <si>
    <t>LL-1002</t>
  </si>
  <si>
    <t>UK</t>
  </si>
  <si>
    <t>LL-1003</t>
  </si>
  <si>
    <t>CA</t>
  </si>
  <si>
    <t>LL-1004</t>
  </si>
  <si>
    <t>LL-1005</t>
  </si>
  <si>
    <t>LL-1006</t>
  </si>
  <si>
    <t>LL-1007</t>
  </si>
  <si>
    <t>LL-1008</t>
  </si>
  <si>
    <t>LL-1009</t>
  </si>
  <si>
    <t>LL-1010</t>
  </si>
  <si>
    <t>LL-1011</t>
  </si>
  <si>
    <t>LL-1012</t>
  </si>
  <si>
    <t>LL-1013</t>
  </si>
  <si>
    <t>LL-1014</t>
  </si>
  <si>
    <t>LL-1015</t>
  </si>
  <si>
    <t>LL-1016</t>
  </si>
  <si>
    <t>LL-1017</t>
  </si>
  <si>
    <t>LL-1018</t>
  </si>
  <si>
    <t>LL-1019</t>
  </si>
  <si>
    <t>LL-1020</t>
  </si>
  <si>
    <t>LL-1021</t>
  </si>
  <si>
    <t>LL-1022</t>
  </si>
  <si>
    <t>LL-1023</t>
  </si>
  <si>
    <t>LL-1024</t>
  </si>
  <si>
    <t>LL-1025</t>
  </si>
  <si>
    <t>LL-1026</t>
  </si>
  <si>
    <t>LL-1027</t>
  </si>
  <si>
    <t>LL-1028</t>
  </si>
  <si>
    <t>LL-1029</t>
  </si>
  <si>
    <t>LL-1030</t>
  </si>
  <si>
    <t>LL-107</t>
  </si>
  <si>
    <t>LL-1031</t>
  </si>
  <si>
    <t>LL-1032</t>
  </si>
  <si>
    <t>LL-1033</t>
  </si>
  <si>
    <t>LL-1034</t>
  </si>
  <si>
    <t>LL-1035</t>
  </si>
  <si>
    <t>LL-1036</t>
  </si>
  <si>
    <t>LL-1037</t>
  </si>
  <si>
    <t>LL-1038</t>
  </si>
  <si>
    <t>LL-1039</t>
  </si>
  <si>
    <t>LL-1040</t>
  </si>
  <si>
    <t>LL-1041</t>
  </si>
  <si>
    <t>LL-1042</t>
  </si>
  <si>
    <t>LL-1043</t>
  </si>
  <si>
    <t>LL-1044</t>
  </si>
  <si>
    <t>LL-1045</t>
  </si>
  <si>
    <t>LL-1046</t>
  </si>
  <si>
    <t>LL-1047</t>
  </si>
  <si>
    <t>LL-1048</t>
  </si>
  <si>
    <t>Week</t>
  </si>
  <si>
    <t>Platform</t>
  </si>
  <si>
    <t>Spend (local)</t>
  </si>
  <si>
    <t>Spend (USD)</t>
  </si>
  <si>
    <t>Week 1</t>
  </si>
  <si>
    <t>Meta</t>
  </si>
  <si>
    <t>TikTok</t>
  </si>
  <si>
    <t>Week 2</t>
  </si>
  <si>
    <t>Week 3</t>
  </si>
  <si>
    <t>Week 4</t>
  </si>
  <si>
    <t>Metric (USD)</t>
  </si>
  <si>
    <t>Total</t>
  </si>
  <si>
    <t>Gross Sales</t>
  </si>
  <si>
    <t>Discounts</t>
  </si>
  <si>
    <t>Refunds</t>
  </si>
  <si>
    <t>Chargebacks</t>
  </si>
  <si>
    <t>Net Revenue</t>
  </si>
  <si>
    <t>COGS</t>
  </si>
  <si>
    <t>Gross Profit</t>
  </si>
  <si>
    <t>Payment Fees</t>
  </si>
  <si>
    <t>Ad Spend</t>
  </si>
  <si>
    <t>Net Profit</t>
  </si>
  <si>
    <t>Profit Margin</t>
  </si>
  <si>
    <t>ROAS</t>
  </si>
  <si>
    <t>POAS</t>
  </si>
  <si>
    <t>Flagged orders (count)</t>
  </si>
  <si>
    <t>Flagged orders are left out of every number above until someone confirms them (see the Flag column on Orders).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</si>
</sst>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%"/>
    <numFmt numFmtId="179" formatCode="0.00&quot;x&quot;"/>
    <numFmt numFmtId="180" formatCode="yyyy\-mm\-dd"/>
  </numFmts>
  <fonts count="27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sz val="11"/>
      <name val="Calibri"/>
      <charset val="134"/>
      <scheme val="minor"/>
    </font>
    <font>
      <b/>
      <sz val="11"/>
      <name val="Calibri"/>
      <charset val="134"/>
      <scheme val="minor"/>
    </font>
    <font>
      <i/>
      <sz val="11"/>
      <color rgb="FF555555"/>
      <name val="Calibri"/>
      <charset val="134"/>
      <scheme val="minor"/>
    </font>
    <font>
      <b/>
      <sz val="14"/>
      <color rgb="FF0F766E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rgb="FF0F766E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B4530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4" fontId="0" fillId="0" borderId="1" xfId="0" applyNumberFormat="1" applyBorder="1"/>
    <xf numFmtId="0" fontId="3" fillId="0" borderId="0" xfId="0" applyFont="1"/>
    <xf numFmtId="178" fontId="0" fillId="0" borderId="1" xfId="0" applyNumberFormat="1" applyBorder="1"/>
    <xf numFmtId="179" fontId="0" fillId="0" borderId="1" xfId="0" applyNumberFormat="1" applyBorder="1"/>
    <xf numFmtId="0" fontId="4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80" fontId="0" fillId="0" borderId="1" xfId="0" applyNumberFormat="1" applyBorder="1"/>
    <xf numFmtId="2" fontId="0" fillId="0" borderId="1" xfId="0" applyNumberFormat="1" applyBorder="1"/>
    <xf numFmtId="4" fontId="0" fillId="0" borderId="0" xfId="0" applyNumberFormat="1"/>
    <xf numFmtId="2" fontId="0" fillId="0" borderId="0" xfId="0" applyNumberForma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ill>
        <patternFill patternType="solid">
          <fgColor rgb="FFFDE2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abSelected="1" workbookViewId="0">
      <selection activeCell="A1" sqref="A1"/>
    </sheetView>
  </sheetViews>
  <sheetFormatPr defaultColWidth="9" defaultRowHeight="15"/>
  <cols>
    <col min="1" max="1" width="120" customWidth="1"/>
  </cols>
  <sheetData>
    <row r="1" ht="18.75" spans="1:1">
      <c r="A1" s="14" t="s">
        <v>0</v>
      </c>
    </row>
    <row r="2" spans="1:1">
      <c r="A2" s="15" t="s">
        <v>1</v>
      </c>
    </row>
    <row r="3" spans="1:1">
      <c r="A3" s="15" t="s">
        <v>2</v>
      </c>
    </row>
    <row r="4" spans="1:1">
      <c r="A4" s="15" t="s">
        <v>3</v>
      </c>
    </row>
    <row r="5" spans="1:1">
      <c r="A5" s="15" t="s">
        <v>4</v>
      </c>
    </row>
    <row r="6" spans="1:1">
      <c r="A6" s="15" t="s">
        <v>2</v>
      </c>
    </row>
    <row r="7" spans="1:1">
      <c r="A7" s="16" t="s">
        <v>5</v>
      </c>
    </row>
    <row r="8" spans="1:1">
      <c r="A8" s="15" t="s">
        <v>6</v>
      </c>
    </row>
    <row r="9" spans="1:1">
      <c r="A9" s="15" t="s">
        <v>7</v>
      </c>
    </row>
    <row r="10" spans="1:1">
      <c r="A10" s="15" t="s">
        <v>8</v>
      </c>
    </row>
    <row r="11" spans="1:1">
      <c r="A11" s="15" t="s">
        <v>9</v>
      </c>
    </row>
    <row r="12" spans="1:1">
      <c r="A12" s="15" t="s">
        <v>10</v>
      </c>
    </row>
    <row r="13" spans="1:1">
      <c r="A13" s="15" t="s">
        <v>11</v>
      </c>
    </row>
    <row r="14" spans="1:1">
      <c r="A14" s="15" t="s">
        <v>12</v>
      </c>
    </row>
    <row r="15" spans="1:1">
      <c r="A15" s="15" t="s">
        <v>13</v>
      </c>
    </row>
    <row r="16" spans="1:1">
      <c r="A16" s="15" t="s">
        <v>2</v>
      </c>
    </row>
    <row r="17" spans="1:1">
      <c r="A17" s="15" t="s">
        <v>14</v>
      </c>
    </row>
    <row r="18" spans="1:1">
      <c r="A18" s="15" t="s">
        <v>15</v>
      </c>
    </row>
  </sheetData>
  <sheetProtection algorithmName="SHA-512" hashValue="DJsQhE2zLG9z86JkmTxm6hjwunRm5Vglommu/yVMXLb/ABOSYeiHp8xw0FHwF2iEKzjmVi1PTICRgKtcphHhkg==" saltValue="eNuxsOqetoayTBjjujYUow==" spinCount="100000" sheet="1" objects="1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5" outlineLevelRow="3" outlineLevelCol="2"/>
  <cols>
    <col min="1" max="1" width="12" customWidth="1"/>
    <col min="2" max="2" width="14" customWidth="1"/>
    <col min="3" max="3" width="40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spans="1:3">
      <c r="A2" t="s">
        <v>19</v>
      </c>
      <c r="B2" s="13">
        <v>1</v>
      </c>
      <c r="C2" t="s">
        <v>20</v>
      </c>
    </row>
    <row r="3" spans="1:3">
      <c r="A3" t="s">
        <v>21</v>
      </c>
      <c r="B3" s="13">
        <v>0.73</v>
      </c>
      <c r="C3" t="s">
        <v>20</v>
      </c>
    </row>
    <row r="4" spans="1:3">
      <c r="A4" t="s">
        <v>22</v>
      </c>
      <c r="B4" s="13">
        <v>1.34</v>
      </c>
      <c r="C4" t="s">
        <v>20</v>
      </c>
    </row>
  </sheetData>
  <sheetProtection algorithmName="SHA-512" hashValue="LBV6rgXMgQ1IZJzLer2fmlQrzO4Ek0UJuy01Ldp3cSfJDCTMa00IB8qCQIECTczjJLtjMnaFh40QSdouMCsa9w==" saltValue="PeTjEnYTT2ROamoWWwXGDQ==" spinCount="100000" sheet="1" objects="1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A1" sqref="A1"/>
    </sheetView>
  </sheetViews>
  <sheetFormatPr defaultColWidth="9" defaultRowHeight="15" outlineLevelRow="6" outlineLevelCol="6"/>
  <cols>
    <col min="1" max="1" width="10" customWidth="1"/>
    <col min="2" max="2" width="26" customWidth="1"/>
    <col min="3" max="3" width="14" customWidth="1"/>
    <col min="4" max="4" width="12" customWidth="1"/>
    <col min="5" max="7" width="11" customWidth="1"/>
  </cols>
  <sheetData>
    <row r="1" ht="32" customHeight="1" spans="1:7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>
      <c r="A2" t="s">
        <v>30</v>
      </c>
      <c r="B2" t="s">
        <v>31</v>
      </c>
      <c r="C2" s="12">
        <v>14.5</v>
      </c>
      <c r="D2" s="12">
        <v>4.2</v>
      </c>
      <c r="E2" s="12">
        <v>49</v>
      </c>
      <c r="F2" s="12">
        <v>65</v>
      </c>
      <c r="G2" s="12">
        <v>39</v>
      </c>
    </row>
    <row r="3" spans="1:7">
      <c r="A3" t="s">
        <v>32</v>
      </c>
      <c r="B3" t="s">
        <v>33</v>
      </c>
      <c r="C3" s="12">
        <v>9.8</v>
      </c>
      <c r="D3" s="12">
        <v>3.1</v>
      </c>
      <c r="E3" s="12">
        <v>34</v>
      </c>
      <c r="F3" s="12">
        <v>45</v>
      </c>
      <c r="G3" s="12">
        <v>27</v>
      </c>
    </row>
    <row r="4" spans="1:7">
      <c r="A4" t="s">
        <v>34</v>
      </c>
      <c r="B4" t="s">
        <v>35</v>
      </c>
      <c r="C4" s="12">
        <v>16.2</v>
      </c>
      <c r="D4" s="12">
        <v>5.4</v>
      </c>
      <c r="E4" s="12">
        <v>59</v>
      </c>
      <c r="F4" s="12">
        <v>79</v>
      </c>
      <c r="G4" s="12">
        <v>47</v>
      </c>
    </row>
    <row r="5" spans="1:7">
      <c r="A5" t="s">
        <v>36</v>
      </c>
      <c r="B5" t="s">
        <v>37</v>
      </c>
      <c r="C5" s="12">
        <v>11.4</v>
      </c>
      <c r="D5" s="12">
        <v>3.8</v>
      </c>
      <c r="E5" s="12">
        <v>42</v>
      </c>
      <c r="F5" s="12">
        <v>56</v>
      </c>
      <c r="G5" s="12">
        <v>33</v>
      </c>
    </row>
    <row r="6" spans="1:7">
      <c r="A6" t="s">
        <v>38</v>
      </c>
      <c r="B6" t="s">
        <v>39</v>
      </c>
      <c r="C6" s="12">
        <v>5.6</v>
      </c>
      <c r="D6" s="12">
        <v>2.2</v>
      </c>
      <c r="E6" s="12">
        <v>22</v>
      </c>
      <c r="F6" s="12">
        <v>29</v>
      </c>
      <c r="G6" s="12">
        <v>18</v>
      </c>
    </row>
    <row r="7" spans="1:7">
      <c r="A7" t="s">
        <v>40</v>
      </c>
      <c r="B7" t="s">
        <v>41</v>
      </c>
      <c r="C7" s="12">
        <v>12.9</v>
      </c>
      <c r="D7" s="12">
        <v>4.6</v>
      </c>
      <c r="E7" s="12">
        <v>45</v>
      </c>
      <c r="F7" s="12">
        <v>59</v>
      </c>
      <c r="G7" s="12">
        <v>36</v>
      </c>
    </row>
  </sheetData>
  <sheetProtection algorithmName="SHA-512" hashValue="nzwxXeqEEuBaDZ7pHSVUYZbmsh2hMvPQxQ2Tw7cf8D6hXm6dNZ8U+hCJH5nNuMRDdyK6otvwIypxlC7MLGR2JQ==" saltValue="BvqB5ssg3A1/hDuaHCCujg==" spinCount="100000" sheet="1" objects="1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10" customWidth="1"/>
    <col min="2" max="2" width="11" customWidth="1"/>
    <col min="3" max="3" width="8" customWidth="1"/>
    <col min="4" max="5" width="9" customWidth="1"/>
    <col min="6" max="6" width="6" customWidth="1"/>
    <col min="7" max="7" width="11" customWidth="1"/>
    <col min="8" max="9" width="10" customWidth="1"/>
    <col min="10" max="13" width="11" customWidth="1"/>
    <col min="14" max="14" width="9" customWidth="1"/>
    <col min="15" max="15" width="11" customWidth="1"/>
    <col min="16" max="17" width="10" customWidth="1"/>
    <col min="18" max="18" width="11" customWidth="1"/>
    <col min="19" max="19" width="28" customWidth="1"/>
  </cols>
  <sheetData>
    <row r="1" ht="32" customHeight="1" spans="1:19">
      <c r="A1" s="1" t="s">
        <v>42</v>
      </c>
      <c r="B1" s="1" t="s">
        <v>43</v>
      </c>
      <c r="C1" s="1" t="s">
        <v>44</v>
      </c>
      <c r="D1" s="1" t="s">
        <v>16</v>
      </c>
      <c r="E1" s="1" t="s">
        <v>23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8" t="s">
        <v>51</v>
      </c>
      <c r="M1" s="8" t="s">
        <v>52</v>
      </c>
      <c r="N1" s="8" t="s">
        <v>17</v>
      </c>
      <c r="O1" s="8" t="s">
        <v>53</v>
      </c>
      <c r="P1" s="8" t="s">
        <v>54</v>
      </c>
      <c r="Q1" s="8" t="s">
        <v>55</v>
      </c>
      <c r="R1" s="8" t="s">
        <v>56</v>
      </c>
      <c r="S1" s="8" t="s">
        <v>57</v>
      </c>
    </row>
    <row r="2" spans="1:19">
      <c r="A2" s="9" t="s">
        <v>58</v>
      </c>
      <c r="B2" s="10">
        <v>46266</v>
      </c>
      <c r="C2" s="9" t="s">
        <v>59</v>
      </c>
      <c r="D2" s="9" t="s">
        <v>19</v>
      </c>
      <c r="E2" s="9" t="s">
        <v>34</v>
      </c>
      <c r="F2" s="9">
        <v>2</v>
      </c>
      <c r="G2" s="3">
        <v>59</v>
      </c>
      <c r="H2" s="3">
        <v>0</v>
      </c>
      <c r="I2" s="3">
        <v>0</v>
      </c>
      <c r="J2" s="3">
        <v>0</v>
      </c>
      <c r="K2" s="3">
        <v>3.72</v>
      </c>
      <c r="L2" s="3">
        <f t="shared" ref="L2:L50" si="0">G2*F2</f>
        <v>118</v>
      </c>
      <c r="M2" s="3">
        <f t="shared" ref="M2:M50" si="1">L2-H2-I2-J2</f>
        <v>118</v>
      </c>
      <c r="N2" s="11">
        <f>VLOOKUP(D2,Rates!$A$2:$B$4,2,FALSE)</f>
        <v>1</v>
      </c>
      <c r="O2" s="3">
        <f t="shared" ref="O2:O50" si="2">M2*N2</f>
        <v>118</v>
      </c>
      <c r="P2" s="3">
        <f>IFERROR((VLOOKUP(E2,Products!$A$2:$D$7,3,FALSE)+VLOOKUP(E2,Products!$A$2:$D$7,4,FALSE))*F2,"")</f>
        <v>43.2</v>
      </c>
      <c r="Q2" s="3">
        <f t="shared" ref="Q2:Q50" si="3">K2*N2</f>
        <v>3.72</v>
      </c>
      <c r="R2" s="3">
        <f t="shared" ref="R2:R50" si="4">IF(P2="","",O2-P2)</f>
        <v>74.8</v>
      </c>
      <c r="S2" s="3" t="str">
        <f>IF(COUNTIF($A$2:A2,A2)&gt;1,"Duplicate order ID",IF(D2&lt;&gt;IF(C2="US","USD",IF(C2="CA","CAD","GBP")),"Currency does not match market",IF(F2&lt;=0,"Quantity is 0 or less",IF(ISNA(MATCH(E2,Products!$A$2:$A$7,0)),"SKU not in product list",IF(I2&gt;L2-H2,"Refund bigger than the sale","")))))</f>
        <v/>
      </c>
    </row>
    <row r="3" spans="1:19">
      <c r="A3" s="9" t="s">
        <v>60</v>
      </c>
      <c r="B3" s="10">
        <v>46266</v>
      </c>
      <c r="C3" s="9" t="s">
        <v>61</v>
      </c>
      <c r="D3" s="9" t="s">
        <v>22</v>
      </c>
      <c r="E3" s="9" t="s">
        <v>30</v>
      </c>
      <c r="F3" s="9">
        <v>1</v>
      </c>
      <c r="G3" s="3">
        <v>39</v>
      </c>
      <c r="H3" s="3">
        <v>3.9</v>
      </c>
      <c r="I3" s="3">
        <v>0</v>
      </c>
      <c r="J3" s="3">
        <v>0</v>
      </c>
      <c r="K3" s="3">
        <v>1.32</v>
      </c>
      <c r="L3" s="3">
        <f t="shared" si="0"/>
        <v>39</v>
      </c>
      <c r="M3" s="3">
        <f t="shared" si="1"/>
        <v>35.1</v>
      </c>
      <c r="N3" s="11">
        <f>VLOOKUP(D3,Rates!$A$2:$B$4,2,FALSE)</f>
        <v>1.34</v>
      </c>
      <c r="O3" s="3">
        <f t="shared" si="2"/>
        <v>47.034</v>
      </c>
      <c r="P3" s="3">
        <f>IFERROR((VLOOKUP(E3,Products!$A$2:$D$7,3,FALSE)+VLOOKUP(E3,Products!$A$2:$D$7,4,FALSE))*F3,"")</f>
        <v>18.7</v>
      </c>
      <c r="Q3" s="3">
        <f t="shared" si="3"/>
        <v>1.7688</v>
      </c>
      <c r="R3" s="3">
        <f t="shared" si="4"/>
        <v>28.334</v>
      </c>
      <c r="S3" s="3" t="str">
        <f>IF(COUNTIF($A$2:A3,A3)&gt;1,"Duplicate order ID",IF(D3&lt;&gt;IF(C3="US","USD",IF(C3="CA","CAD","GBP")),"Currency does not match market",IF(F3&lt;=0,"Quantity is 0 or less",IF(ISNA(MATCH(E3,Products!$A$2:$A$7,0)),"SKU not in product list",IF(I3&gt;L3-H3,"Refund bigger than the sale","")))))</f>
        <v/>
      </c>
    </row>
    <row r="4" spans="1:19">
      <c r="A4" s="9" t="s">
        <v>62</v>
      </c>
      <c r="B4" s="10">
        <v>46267</v>
      </c>
      <c r="C4" s="9" t="s">
        <v>63</v>
      </c>
      <c r="D4" s="9" t="s">
        <v>21</v>
      </c>
      <c r="E4" s="9" t="s">
        <v>30</v>
      </c>
      <c r="F4" s="9">
        <v>2</v>
      </c>
      <c r="G4" s="3">
        <v>65</v>
      </c>
      <c r="H4" s="3">
        <v>0</v>
      </c>
      <c r="I4" s="3">
        <v>0</v>
      </c>
      <c r="J4" s="3">
        <v>0</v>
      </c>
      <c r="K4" s="3">
        <v>4.07</v>
      </c>
      <c r="L4" s="3">
        <f t="shared" si="0"/>
        <v>130</v>
      </c>
      <c r="M4" s="3">
        <f t="shared" si="1"/>
        <v>130</v>
      </c>
      <c r="N4" s="11">
        <f>VLOOKUP(D4,Rates!$A$2:$B$4,2,FALSE)</f>
        <v>0.73</v>
      </c>
      <c r="O4" s="3">
        <f t="shared" si="2"/>
        <v>94.9</v>
      </c>
      <c r="P4" s="3">
        <f>IFERROR((VLOOKUP(E4,Products!$A$2:$D$7,3,FALSE)+VLOOKUP(E4,Products!$A$2:$D$7,4,FALSE))*F4,"")</f>
        <v>37.4</v>
      </c>
      <c r="Q4" s="3">
        <f t="shared" si="3"/>
        <v>2.9711</v>
      </c>
      <c r="R4" s="3">
        <f t="shared" si="4"/>
        <v>57.5</v>
      </c>
      <c r="S4" s="3" t="str">
        <f>IF(COUNTIF($A$2:A4,A4)&gt;1,"Duplicate order ID",IF(D4&lt;&gt;IF(C4="US","USD",IF(C4="CA","CAD","GBP")),"Currency does not match market",IF(F4&lt;=0,"Quantity is 0 or less",IF(ISNA(MATCH(E4,Products!$A$2:$A$7,0)),"SKU not in product list",IF(I4&gt;L4-H4,"Refund bigger than the sale","")))))</f>
        <v/>
      </c>
    </row>
    <row r="5" spans="1:19">
      <c r="A5" s="9" t="s">
        <v>64</v>
      </c>
      <c r="B5" s="10">
        <v>46267</v>
      </c>
      <c r="C5" s="9" t="s">
        <v>59</v>
      </c>
      <c r="D5" s="9" t="s">
        <v>19</v>
      </c>
      <c r="E5" s="9" t="s">
        <v>34</v>
      </c>
      <c r="F5" s="9">
        <v>1</v>
      </c>
      <c r="G5" s="3">
        <v>59</v>
      </c>
      <c r="H5" s="3">
        <v>0</v>
      </c>
      <c r="I5" s="3">
        <v>0</v>
      </c>
      <c r="J5" s="3">
        <v>0</v>
      </c>
      <c r="K5" s="3">
        <v>2.01</v>
      </c>
      <c r="L5" s="3">
        <f t="shared" si="0"/>
        <v>59</v>
      </c>
      <c r="M5" s="3">
        <f t="shared" si="1"/>
        <v>59</v>
      </c>
      <c r="N5" s="11">
        <f>VLOOKUP(D5,Rates!$A$2:$B$4,2,FALSE)</f>
        <v>1</v>
      </c>
      <c r="O5" s="3">
        <f t="shared" si="2"/>
        <v>59</v>
      </c>
      <c r="P5" s="3">
        <f>IFERROR((VLOOKUP(E5,Products!$A$2:$D$7,3,FALSE)+VLOOKUP(E5,Products!$A$2:$D$7,4,FALSE))*F5,"")</f>
        <v>21.6</v>
      </c>
      <c r="Q5" s="3">
        <f t="shared" si="3"/>
        <v>2.01</v>
      </c>
      <c r="R5" s="3">
        <f t="shared" si="4"/>
        <v>37.4</v>
      </c>
      <c r="S5" s="3" t="str">
        <f>IF(COUNTIF($A$2:A5,A5)&gt;1,"Duplicate order ID",IF(D5&lt;&gt;IF(C5="US","USD",IF(C5="CA","CAD","GBP")),"Currency does not match market",IF(F5&lt;=0,"Quantity is 0 or less",IF(ISNA(MATCH(E5,Products!$A$2:$A$7,0)),"SKU not in product list",IF(I5&gt;L5-H5,"Refund bigger than the sale","")))))</f>
        <v/>
      </c>
    </row>
    <row r="6" spans="1:19">
      <c r="A6" s="9" t="s">
        <v>65</v>
      </c>
      <c r="B6" s="10">
        <v>46268</v>
      </c>
      <c r="C6" s="9" t="s">
        <v>59</v>
      </c>
      <c r="D6" s="9" t="s">
        <v>19</v>
      </c>
      <c r="E6" s="9" t="s">
        <v>30</v>
      </c>
      <c r="F6" s="9">
        <v>2</v>
      </c>
      <c r="G6" s="3">
        <v>49</v>
      </c>
      <c r="H6" s="3">
        <v>0</v>
      </c>
      <c r="I6" s="3">
        <v>0</v>
      </c>
      <c r="J6" s="3">
        <v>0</v>
      </c>
      <c r="K6" s="3">
        <v>3.14</v>
      </c>
      <c r="L6" s="3">
        <f t="shared" si="0"/>
        <v>98</v>
      </c>
      <c r="M6" s="3">
        <f t="shared" si="1"/>
        <v>98</v>
      </c>
      <c r="N6" s="11">
        <f>VLOOKUP(D6,Rates!$A$2:$B$4,2,FALSE)</f>
        <v>1</v>
      </c>
      <c r="O6" s="3">
        <f t="shared" si="2"/>
        <v>98</v>
      </c>
      <c r="P6" s="3">
        <f>IFERROR((VLOOKUP(E6,Products!$A$2:$D$7,3,FALSE)+VLOOKUP(E6,Products!$A$2:$D$7,4,FALSE))*F6,"")</f>
        <v>37.4</v>
      </c>
      <c r="Q6" s="3">
        <f t="shared" si="3"/>
        <v>3.14</v>
      </c>
      <c r="R6" s="3">
        <f t="shared" si="4"/>
        <v>60.6</v>
      </c>
      <c r="S6" s="3" t="str">
        <f>IF(COUNTIF($A$2:A6,A6)&gt;1,"Duplicate order ID",IF(D6&lt;&gt;IF(C6="US","USD",IF(C6="CA","CAD","GBP")),"Currency does not match market",IF(F6&lt;=0,"Quantity is 0 or less",IF(ISNA(MATCH(E6,Products!$A$2:$A$7,0)),"SKU not in product list",IF(I6&gt;L6-H6,"Refund bigger than the sale","")))))</f>
        <v/>
      </c>
    </row>
    <row r="7" spans="1:19">
      <c r="A7" s="9" t="s">
        <v>66</v>
      </c>
      <c r="B7" s="10">
        <v>46269</v>
      </c>
      <c r="C7" s="9" t="s">
        <v>59</v>
      </c>
      <c r="D7" s="9" t="s">
        <v>19</v>
      </c>
      <c r="E7" s="9" t="s">
        <v>36</v>
      </c>
      <c r="F7" s="9">
        <v>1</v>
      </c>
      <c r="G7" s="3">
        <v>42</v>
      </c>
      <c r="H7" s="3">
        <v>0</v>
      </c>
      <c r="I7" s="3">
        <v>0</v>
      </c>
      <c r="J7" s="3">
        <v>0</v>
      </c>
      <c r="K7" s="3">
        <v>1.52</v>
      </c>
      <c r="L7" s="3">
        <f t="shared" si="0"/>
        <v>42</v>
      </c>
      <c r="M7" s="3">
        <f t="shared" si="1"/>
        <v>42</v>
      </c>
      <c r="N7" s="11">
        <f>VLOOKUP(D7,Rates!$A$2:$B$4,2,FALSE)</f>
        <v>1</v>
      </c>
      <c r="O7" s="3">
        <f t="shared" si="2"/>
        <v>42</v>
      </c>
      <c r="P7" s="3">
        <f>IFERROR((VLOOKUP(E7,Products!$A$2:$D$7,3,FALSE)+VLOOKUP(E7,Products!$A$2:$D$7,4,FALSE))*F7,"")</f>
        <v>15.2</v>
      </c>
      <c r="Q7" s="3">
        <f t="shared" si="3"/>
        <v>1.52</v>
      </c>
      <c r="R7" s="3">
        <f t="shared" si="4"/>
        <v>26.8</v>
      </c>
      <c r="S7" s="3" t="str">
        <f>IF(COUNTIF($A$2:A7,A7)&gt;1,"Duplicate order ID",IF(D7&lt;&gt;IF(C7="US","USD",IF(C7="CA","CAD","GBP")),"Currency does not match market",IF(F7&lt;=0,"Quantity is 0 or less",IF(ISNA(MATCH(E7,Products!$A$2:$A$7,0)),"SKU not in product list",IF(I7&gt;L7-H7,"Refund bigger than the sale","")))))</f>
        <v/>
      </c>
    </row>
    <row r="8" spans="1:19">
      <c r="A8" s="9" t="s">
        <v>67</v>
      </c>
      <c r="B8" s="10">
        <v>46269</v>
      </c>
      <c r="C8" s="9" t="s">
        <v>61</v>
      </c>
      <c r="D8" s="9" t="s">
        <v>22</v>
      </c>
      <c r="E8" s="9" t="s">
        <v>36</v>
      </c>
      <c r="F8" s="9">
        <v>1</v>
      </c>
      <c r="G8" s="3">
        <v>33</v>
      </c>
      <c r="H8" s="3">
        <v>0</v>
      </c>
      <c r="I8" s="3">
        <v>16.5</v>
      </c>
      <c r="J8" s="3">
        <v>0</v>
      </c>
      <c r="K8" s="3">
        <v>1.26</v>
      </c>
      <c r="L8" s="3">
        <f t="shared" si="0"/>
        <v>33</v>
      </c>
      <c r="M8" s="3">
        <f t="shared" si="1"/>
        <v>16.5</v>
      </c>
      <c r="N8" s="11">
        <f>VLOOKUP(D8,Rates!$A$2:$B$4,2,FALSE)</f>
        <v>1.34</v>
      </c>
      <c r="O8" s="3">
        <f t="shared" si="2"/>
        <v>22.11</v>
      </c>
      <c r="P8" s="3">
        <f>IFERROR((VLOOKUP(E8,Products!$A$2:$D$7,3,FALSE)+VLOOKUP(E8,Products!$A$2:$D$7,4,FALSE))*F8,"")</f>
        <v>15.2</v>
      </c>
      <c r="Q8" s="3">
        <f t="shared" si="3"/>
        <v>1.6884</v>
      </c>
      <c r="R8" s="3">
        <f t="shared" si="4"/>
        <v>6.91</v>
      </c>
      <c r="S8" s="3" t="str">
        <f>IF(COUNTIF($A$2:A8,A8)&gt;1,"Duplicate order ID",IF(D8&lt;&gt;IF(C8="US","USD",IF(C8="CA","CAD","GBP")),"Currency does not match market",IF(F8&lt;=0,"Quantity is 0 or less",IF(ISNA(MATCH(E8,Products!$A$2:$A$7,0)),"SKU not in product list",IF(I8&gt;L8-H8,"Refund bigger than the sale","")))))</f>
        <v/>
      </c>
    </row>
    <row r="9" spans="1:19">
      <c r="A9" s="9" t="s">
        <v>68</v>
      </c>
      <c r="B9" s="10">
        <v>46270</v>
      </c>
      <c r="C9" s="9" t="s">
        <v>61</v>
      </c>
      <c r="D9" s="9" t="s">
        <v>22</v>
      </c>
      <c r="E9" s="9" t="s">
        <v>36</v>
      </c>
      <c r="F9" s="9">
        <v>1</v>
      </c>
      <c r="G9" s="3">
        <v>33</v>
      </c>
      <c r="H9" s="3">
        <v>3.3</v>
      </c>
      <c r="I9" s="3">
        <v>0</v>
      </c>
      <c r="J9" s="3">
        <v>0</v>
      </c>
      <c r="K9" s="3">
        <v>1.16</v>
      </c>
      <c r="L9" s="3">
        <f t="shared" si="0"/>
        <v>33</v>
      </c>
      <c r="M9" s="3">
        <f t="shared" si="1"/>
        <v>29.7</v>
      </c>
      <c r="N9" s="11">
        <f>VLOOKUP(D9,Rates!$A$2:$B$4,2,FALSE)</f>
        <v>1.34</v>
      </c>
      <c r="O9" s="3">
        <f t="shared" si="2"/>
        <v>39.798</v>
      </c>
      <c r="P9" s="3">
        <f>IFERROR((VLOOKUP(E9,Products!$A$2:$D$7,3,FALSE)+VLOOKUP(E9,Products!$A$2:$D$7,4,FALSE))*F9,"")</f>
        <v>15.2</v>
      </c>
      <c r="Q9" s="3">
        <f t="shared" si="3"/>
        <v>1.5544</v>
      </c>
      <c r="R9" s="3">
        <f t="shared" si="4"/>
        <v>24.598</v>
      </c>
      <c r="S9" s="3" t="str">
        <f>IF(COUNTIF($A$2:A9,A9)&gt;1,"Duplicate order ID",IF(D9&lt;&gt;IF(C9="US","USD",IF(C9="CA","CAD","GBP")),"Currency does not match market",IF(F9&lt;=0,"Quantity is 0 or less",IF(ISNA(MATCH(E9,Products!$A$2:$A$7,0)),"SKU not in product list",IF(I9&gt;L9-H9,"Refund bigger than the sale","")))))</f>
        <v/>
      </c>
    </row>
    <row r="10" spans="1:19">
      <c r="A10" s="9" t="s">
        <v>69</v>
      </c>
      <c r="B10" s="10">
        <v>46270</v>
      </c>
      <c r="C10" s="9" t="s">
        <v>63</v>
      </c>
      <c r="D10" s="9" t="s">
        <v>21</v>
      </c>
      <c r="E10" s="9" t="s">
        <v>38</v>
      </c>
      <c r="F10" s="9">
        <v>1</v>
      </c>
      <c r="G10" s="3">
        <v>29</v>
      </c>
      <c r="H10" s="3">
        <v>0</v>
      </c>
      <c r="I10" s="3">
        <v>29</v>
      </c>
      <c r="J10" s="3">
        <v>0</v>
      </c>
      <c r="K10" s="3">
        <v>1.14</v>
      </c>
      <c r="L10" s="3">
        <f t="shared" si="0"/>
        <v>29</v>
      </c>
      <c r="M10" s="3">
        <f t="shared" si="1"/>
        <v>0</v>
      </c>
      <c r="N10" s="11">
        <f>VLOOKUP(D10,Rates!$A$2:$B$4,2,FALSE)</f>
        <v>0.73</v>
      </c>
      <c r="O10" s="3">
        <f t="shared" si="2"/>
        <v>0</v>
      </c>
      <c r="P10" s="3">
        <f>IFERROR((VLOOKUP(E10,Products!$A$2:$D$7,3,FALSE)+VLOOKUP(E10,Products!$A$2:$D$7,4,FALSE))*F10,"")</f>
        <v>7.8</v>
      </c>
      <c r="Q10" s="3">
        <f t="shared" si="3"/>
        <v>0.8322</v>
      </c>
      <c r="R10" s="3">
        <f t="shared" si="4"/>
        <v>-7.8</v>
      </c>
      <c r="S10" s="3" t="str">
        <f>IF(COUNTIF($A$2:A10,A10)&gt;1,"Duplicate order ID",IF(D10&lt;&gt;IF(C10="US","USD",IF(C10="CA","CAD","GBP")),"Currency does not match market",IF(F10&lt;=0,"Quantity is 0 or less",IF(ISNA(MATCH(E10,Products!$A$2:$A$7,0)),"SKU not in product list",IF(I10&gt;L10-H10,"Refund bigger than the sale","")))))</f>
        <v/>
      </c>
    </row>
    <row r="11" spans="1:19">
      <c r="A11" s="9" t="s">
        <v>70</v>
      </c>
      <c r="B11" s="10">
        <v>46271</v>
      </c>
      <c r="C11" s="9" t="s">
        <v>61</v>
      </c>
      <c r="D11" s="9" t="s">
        <v>22</v>
      </c>
      <c r="E11" s="9" t="s">
        <v>38</v>
      </c>
      <c r="F11" s="9">
        <v>1</v>
      </c>
      <c r="G11" s="3">
        <v>18</v>
      </c>
      <c r="H11" s="3">
        <v>0</v>
      </c>
      <c r="I11" s="3">
        <v>0</v>
      </c>
      <c r="J11" s="3">
        <v>0</v>
      </c>
      <c r="K11" s="3">
        <v>0.82</v>
      </c>
      <c r="L11" s="3">
        <f t="shared" si="0"/>
        <v>18</v>
      </c>
      <c r="M11" s="3">
        <f t="shared" si="1"/>
        <v>18</v>
      </c>
      <c r="N11" s="11">
        <f>VLOOKUP(D11,Rates!$A$2:$B$4,2,FALSE)</f>
        <v>1.34</v>
      </c>
      <c r="O11" s="3">
        <f t="shared" si="2"/>
        <v>24.12</v>
      </c>
      <c r="P11" s="3">
        <f>IFERROR((VLOOKUP(E11,Products!$A$2:$D$7,3,FALSE)+VLOOKUP(E11,Products!$A$2:$D$7,4,FALSE))*F11,"")</f>
        <v>7.8</v>
      </c>
      <c r="Q11" s="3">
        <f t="shared" si="3"/>
        <v>1.0988</v>
      </c>
      <c r="R11" s="3">
        <f t="shared" si="4"/>
        <v>16.32</v>
      </c>
      <c r="S11" s="3" t="str">
        <f>IF(COUNTIF($A$2:A11,A11)&gt;1,"Duplicate order ID",IF(D11&lt;&gt;IF(C11="US","USD",IF(C11="CA","CAD","GBP")),"Currency does not match market",IF(F11&lt;=0,"Quantity is 0 or less",IF(ISNA(MATCH(E11,Products!$A$2:$A$7,0)),"SKU not in product list",IF(I11&gt;L11-H11,"Refund bigger than the sale","")))))</f>
        <v/>
      </c>
    </row>
    <row r="12" spans="1:19">
      <c r="A12" s="9" t="s">
        <v>70</v>
      </c>
      <c r="B12" s="10">
        <v>46271</v>
      </c>
      <c r="C12" s="9" t="s">
        <v>61</v>
      </c>
      <c r="D12" s="9" t="s">
        <v>22</v>
      </c>
      <c r="E12" s="9" t="s">
        <v>38</v>
      </c>
      <c r="F12" s="9">
        <v>1</v>
      </c>
      <c r="G12" s="3">
        <v>18</v>
      </c>
      <c r="H12" s="3">
        <v>0</v>
      </c>
      <c r="I12" s="3">
        <v>0</v>
      </c>
      <c r="J12" s="3">
        <v>0</v>
      </c>
      <c r="K12" s="3">
        <v>0.82</v>
      </c>
      <c r="L12" s="3">
        <f t="shared" si="0"/>
        <v>18</v>
      </c>
      <c r="M12" s="3">
        <f t="shared" si="1"/>
        <v>18</v>
      </c>
      <c r="N12" s="11">
        <f>VLOOKUP(D12,Rates!$A$2:$B$4,2,FALSE)</f>
        <v>1.34</v>
      </c>
      <c r="O12" s="3">
        <f t="shared" si="2"/>
        <v>24.12</v>
      </c>
      <c r="P12" s="3">
        <f>IFERROR((VLOOKUP(E12,Products!$A$2:$D$7,3,FALSE)+VLOOKUP(E12,Products!$A$2:$D$7,4,FALSE))*F12,"")</f>
        <v>7.8</v>
      </c>
      <c r="Q12" s="3">
        <f t="shared" si="3"/>
        <v>1.0988</v>
      </c>
      <c r="R12" s="3">
        <f t="shared" si="4"/>
        <v>16.32</v>
      </c>
      <c r="S12" s="3" t="str">
        <f>IF(COUNTIF($A$2:A12,A12)&gt;1,"Duplicate order ID",IF(D12&lt;&gt;IF(C12="US","USD",IF(C12="CA","CAD","GBP")),"Currency does not match market",IF(F12&lt;=0,"Quantity is 0 or less",IF(ISNA(MATCH(E12,Products!$A$2:$A$7,0)),"SKU not in product list",IF(I12&gt;L12-H12,"Refund bigger than the sale","")))))</f>
        <v>Duplicate order ID</v>
      </c>
    </row>
    <row r="13" spans="1:19">
      <c r="A13" s="9" t="s">
        <v>71</v>
      </c>
      <c r="B13" s="10">
        <v>46272</v>
      </c>
      <c r="C13" s="9" t="s">
        <v>63</v>
      </c>
      <c r="D13" s="9" t="s">
        <v>21</v>
      </c>
      <c r="E13" s="9" t="s">
        <v>32</v>
      </c>
      <c r="F13" s="9">
        <v>1</v>
      </c>
      <c r="G13" s="3">
        <v>45</v>
      </c>
      <c r="H13" s="3">
        <v>0</v>
      </c>
      <c r="I13" s="3">
        <v>0</v>
      </c>
      <c r="J13" s="3">
        <v>0</v>
      </c>
      <c r="K13" s="3">
        <v>1.61</v>
      </c>
      <c r="L13" s="3">
        <f t="shared" si="0"/>
        <v>45</v>
      </c>
      <c r="M13" s="3">
        <f t="shared" si="1"/>
        <v>45</v>
      </c>
      <c r="N13" s="11">
        <f>VLOOKUP(D13,Rates!$A$2:$B$4,2,FALSE)</f>
        <v>0.73</v>
      </c>
      <c r="O13" s="3">
        <f t="shared" si="2"/>
        <v>32.85</v>
      </c>
      <c r="P13" s="3">
        <f>IFERROR((VLOOKUP(E13,Products!$A$2:$D$7,3,FALSE)+VLOOKUP(E13,Products!$A$2:$D$7,4,FALSE))*F13,"")</f>
        <v>12.9</v>
      </c>
      <c r="Q13" s="3">
        <f t="shared" si="3"/>
        <v>1.1753</v>
      </c>
      <c r="R13" s="3">
        <f t="shared" si="4"/>
        <v>19.95</v>
      </c>
      <c r="S13" s="3" t="str">
        <f>IF(COUNTIF($A$2:A13,A13)&gt;1,"Duplicate order ID",IF(D13&lt;&gt;IF(C13="US","USD",IF(C13="CA","CAD","GBP")),"Currency does not match market",IF(F13&lt;=0,"Quantity is 0 or less",IF(ISNA(MATCH(E13,Products!$A$2:$A$7,0)),"SKU not in product list",IF(I13&gt;L13-H13,"Refund bigger than the sale","")))))</f>
        <v/>
      </c>
    </row>
    <row r="14" spans="1:19">
      <c r="A14" s="9" t="s">
        <v>72</v>
      </c>
      <c r="B14" s="10">
        <v>46272</v>
      </c>
      <c r="C14" s="9" t="s">
        <v>59</v>
      </c>
      <c r="D14" s="9" t="s">
        <v>19</v>
      </c>
      <c r="E14" s="9" t="s">
        <v>32</v>
      </c>
      <c r="F14" s="9">
        <v>1</v>
      </c>
      <c r="G14" s="3">
        <v>34</v>
      </c>
      <c r="H14" s="3">
        <v>3.4</v>
      </c>
      <c r="I14" s="3">
        <v>0</v>
      </c>
      <c r="J14" s="3">
        <v>0</v>
      </c>
      <c r="K14" s="3">
        <v>1.19</v>
      </c>
      <c r="L14" s="3">
        <f t="shared" si="0"/>
        <v>34</v>
      </c>
      <c r="M14" s="3">
        <f t="shared" si="1"/>
        <v>30.6</v>
      </c>
      <c r="N14" s="11">
        <f>VLOOKUP(D14,Rates!$A$2:$B$4,2,FALSE)</f>
        <v>1</v>
      </c>
      <c r="O14" s="3">
        <f t="shared" si="2"/>
        <v>30.6</v>
      </c>
      <c r="P14" s="3">
        <f>IFERROR((VLOOKUP(E14,Products!$A$2:$D$7,3,FALSE)+VLOOKUP(E14,Products!$A$2:$D$7,4,FALSE))*F14,"")</f>
        <v>12.9</v>
      </c>
      <c r="Q14" s="3">
        <f t="shared" si="3"/>
        <v>1.19</v>
      </c>
      <c r="R14" s="3">
        <f t="shared" si="4"/>
        <v>17.7</v>
      </c>
      <c r="S14" s="3" t="str">
        <f>IF(COUNTIF($A$2:A14,A14)&gt;1,"Duplicate order ID",IF(D14&lt;&gt;IF(C14="US","USD",IF(C14="CA","CAD","GBP")),"Currency does not match market",IF(F14&lt;=0,"Quantity is 0 or less",IF(ISNA(MATCH(E14,Products!$A$2:$A$7,0)),"SKU not in product list",IF(I14&gt;L14-H14,"Refund bigger than the sale","")))))</f>
        <v/>
      </c>
    </row>
    <row r="15" spans="1:19">
      <c r="A15" s="9" t="s">
        <v>73</v>
      </c>
      <c r="B15" s="10">
        <v>46273</v>
      </c>
      <c r="C15" s="9" t="s">
        <v>59</v>
      </c>
      <c r="D15" s="9" t="s">
        <v>19</v>
      </c>
      <c r="E15" s="9" t="s">
        <v>30</v>
      </c>
      <c r="F15" s="9">
        <v>1</v>
      </c>
      <c r="G15" s="3">
        <v>49</v>
      </c>
      <c r="H15" s="3">
        <v>0</v>
      </c>
      <c r="I15" s="3">
        <v>0</v>
      </c>
      <c r="J15" s="3">
        <v>0</v>
      </c>
      <c r="K15" s="3">
        <v>1.72</v>
      </c>
      <c r="L15" s="3">
        <f t="shared" si="0"/>
        <v>49</v>
      </c>
      <c r="M15" s="3">
        <f t="shared" si="1"/>
        <v>49</v>
      </c>
      <c r="N15" s="11">
        <f>VLOOKUP(D15,Rates!$A$2:$B$4,2,FALSE)</f>
        <v>1</v>
      </c>
      <c r="O15" s="3">
        <f t="shared" si="2"/>
        <v>49</v>
      </c>
      <c r="P15" s="3">
        <f>IFERROR((VLOOKUP(E15,Products!$A$2:$D$7,3,FALSE)+VLOOKUP(E15,Products!$A$2:$D$7,4,FALSE))*F15,"")</f>
        <v>18.7</v>
      </c>
      <c r="Q15" s="3">
        <f t="shared" si="3"/>
        <v>1.72</v>
      </c>
      <c r="R15" s="3">
        <f t="shared" si="4"/>
        <v>30.3</v>
      </c>
      <c r="S15" s="3" t="str">
        <f>IF(COUNTIF($A$2:A15,A15)&gt;1,"Duplicate order ID",IF(D15&lt;&gt;IF(C15="US","USD",IF(C15="CA","CAD","GBP")),"Currency does not match market",IF(F15&lt;=0,"Quantity is 0 or less",IF(ISNA(MATCH(E15,Products!$A$2:$A$7,0)),"SKU not in product list",IF(I15&gt;L15-H15,"Refund bigger than the sale","")))))</f>
        <v/>
      </c>
    </row>
    <row r="16" spans="1:19">
      <c r="A16" s="9" t="s">
        <v>74</v>
      </c>
      <c r="B16" s="10">
        <v>46274</v>
      </c>
      <c r="C16" s="9" t="s">
        <v>59</v>
      </c>
      <c r="D16" s="9" t="s">
        <v>19</v>
      </c>
      <c r="E16" s="9" t="s">
        <v>36</v>
      </c>
      <c r="F16" s="9">
        <v>2</v>
      </c>
      <c r="G16" s="3">
        <v>42</v>
      </c>
      <c r="H16" s="3">
        <v>0</v>
      </c>
      <c r="I16" s="3">
        <v>0</v>
      </c>
      <c r="J16" s="3">
        <v>0</v>
      </c>
      <c r="K16" s="3">
        <v>2.74</v>
      </c>
      <c r="L16" s="3">
        <f t="shared" si="0"/>
        <v>84</v>
      </c>
      <c r="M16" s="3">
        <f t="shared" si="1"/>
        <v>84</v>
      </c>
      <c r="N16" s="11">
        <f>VLOOKUP(D16,Rates!$A$2:$B$4,2,FALSE)</f>
        <v>1</v>
      </c>
      <c r="O16" s="3">
        <f t="shared" si="2"/>
        <v>84</v>
      </c>
      <c r="P16" s="3">
        <f>IFERROR((VLOOKUP(E16,Products!$A$2:$D$7,3,FALSE)+VLOOKUP(E16,Products!$A$2:$D$7,4,FALSE))*F16,"")</f>
        <v>30.4</v>
      </c>
      <c r="Q16" s="3">
        <f t="shared" si="3"/>
        <v>2.74</v>
      </c>
      <c r="R16" s="3">
        <f t="shared" si="4"/>
        <v>53.6</v>
      </c>
      <c r="S16" s="3" t="str">
        <f>IF(COUNTIF($A$2:A16,A16)&gt;1,"Duplicate order ID",IF(D16&lt;&gt;IF(C16="US","USD",IF(C16="CA","CAD","GBP")),"Currency does not match market",IF(F16&lt;=0,"Quantity is 0 or less",IF(ISNA(MATCH(E16,Products!$A$2:$A$7,0)),"SKU not in product list",IF(I16&gt;L16-H16,"Refund bigger than the sale","")))))</f>
        <v/>
      </c>
    </row>
    <row r="17" spans="1:19">
      <c r="A17" s="9" t="s">
        <v>75</v>
      </c>
      <c r="B17" s="10">
        <v>46274</v>
      </c>
      <c r="C17" s="9" t="s">
        <v>59</v>
      </c>
      <c r="D17" s="9" t="s">
        <v>19</v>
      </c>
      <c r="E17" s="9" t="s">
        <v>34</v>
      </c>
      <c r="F17" s="9">
        <v>1</v>
      </c>
      <c r="G17" s="3">
        <v>59</v>
      </c>
      <c r="H17" s="3">
        <v>0</v>
      </c>
      <c r="I17" s="3">
        <v>0</v>
      </c>
      <c r="J17" s="3">
        <v>0</v>
      </c>
      <c r="K17" s="3">
        <v>2.01</v>
      </c>
      <c r="L17" s="3">
        <f t="shared" si="0"/>
        <v>59</v>
      </c>
      <c r="M17" s="3">
        <f t="shared" si="1"/>
        <v>59</v>
      </c>
      <c r="N17" s="11">
        <f>VLOOKUP(D17,Rates!$A$2:$B$4,2,FALSE)</f>
        <v>1</v>
      </c>
      <c r="O17" s="3">
        <f t="shared" si="2"/>
        <v>59</v>
      </c>
      <c r="P17" s="3">
        <f>IFERROR((VLOOKUP(E17,Products!$A$2:$D$7,3,FALSE)+VLOOKUP(E17,Products!$A$2:$D$7,4,FALSE))*F17,"")</f>
        <v>21.6</v>
      </c>
      <c r="Q17" s="3">
        <f t="shared" si="3"/>
        <v>2.01</v>
      </c>
      <c r="R17" s="3">
        <f t="shared" si="4"/>
        <v>37.4</v>
      </c>
      <c r="S17" s="3" t="str">
        <f>IF(COUNTIF($A$2:A17,A17)&gt;1,"Duplicate order ID",IF(D17&lt;&gt;IF(C17="US","USD",IF(C17="CA","CAD","GBP")),"Currency does not match market",IF(F17&lt;=0,"Quantity is 0 or less",IF(ISNA(MATCH(E17,Products!$A$2:$A$7,0)),"SKU not in product list",IF(I17&gt;L17-H17,"Refund bigger than the sale","")))))</f>
        <v/>
      </c>
    </row>
    <row r="18" spans="1:19">
      <c r="A18" s="9" t="s">
        <v>76</v>
      </c>
      <c r="B18" s="10">
        <v>46275</v>
      </c>
      <c r="C18" s="9" t="s">
        <v>63</v>
      </c>
      <c r="D18" s="9" t="s">
        <v>21</v>
      </c>
      <c r="E18" s="9" t="s">
        <v>34</v>
      </c>
      <c r="F18" s="9">
        <v>1</v>
      </c>
      <c r="G18" s="3">
        <v>79</v>
      </c>
      <c r="H18" s="3">
        <v>7.9</v>
      </c>
      <c r="I18" s="3">
        <v>0</v>
      </c>
      <c r="J18" s="3">
        <v>0</v>
      </c>
      <c r="K18" s="3">
        <v>2.36</v>
      </c>
      <c r="L18" s="3">
        <f t="shared" si="0"/>
        <v>79</v>
      </c>
      <c r="M18" s="3">
        <f t="shared" si="1"/>
        <v>71.1</v>
      </c>
      <c r="N18" s="11">
        <f>VLOOKUP(D18,Rates!$A$2:$B$4,2,FALSE)</f>
        <v>0.73</v>
      </c>
      <c r="O18" s="3">
        <f t="shared" si="2"/>
        <v>51.903</v>
      </c>
      <c r="P18" s="3">
        <f>IFERROR((VLOOKUP(E18,Products!$A$2:$D$7,3,FALSE)+VLOOKUP(E18,Products!$A$2:$D$7,4,FALSE))*F18,"")</f>
        <v>21.6</v>
      </c>
      <c r="Q18" s="3">
        <f t="shared" si="3"/>
        <v>1.7228</v>
      </c>
      <c r="R18" s="3">
        <f t="shared" si="4"/>
        <v>30.303</v>
      </c>
      <c r="S18" s="3" t="str">
        <f>IF(COUNTIF($A$2:A18,A18)&gt;1,"Duplicate order ID",IF(D18&lt;&gt;IF(C18="US","USD",IF(C18="CA","CAD","GBP")),"Currency does not match market",IF(F18&lt;=0,"Quantity is 0 or less",IF(ISNA(MATCH(E18,Products!$A$2:$A$7,0)),"SKU not in product list",IF(I18&gt;L18-H18,"Refund bigger than the sale","")))))</f>
        <v/>
      </c>
    </row>
    <row r="19" spans="1:19">
      <c r="A19" s="9" t="s">
        <v>77</v>
      </c>
      <c r="B19" s="10">
        <v>46275</v>
      </c>
      <c r="C19" s="9" t="s">
        <v>59</v>
      </c>
      <c r="D19" s="9" t="s">
        <v>19</v>
      </c>
      <c r="E19" s="9" t="s">
        <v>30</v>
      </c>
      <c r="F19" s="9">
        <v>1</v>
      </c>
      <c r="G19" s="3">
        <v>49</v>
      </c>
      <c r="H19" s="3">
        <v>0</v>
      </c>
      <c r="I19" s="3">
        <v>0</v>
      </c>
      <c r="J19" s="3">
        <v>0</v>
      </c>
      <c r="K19" s="3">
        <v>1.72</v>
      </c>
      <c r="L19" s="3">
        <f t="shared" si="0"/>
        <v>49</v>
      </c>
      <c r="M19" s="3">
        <f t="shared" si="1"/>
        <v>49</v>
      </c>
      <c r="N19" s="11">
        <f>VLOOKUP(D19,Rates!$A$2:$B$4,2,FALSE)</f>
        <v>1</v>
      </c>
      <c r="O19" s="3">
        <f t="shared" si="2"/>
        <v>49</v>
      </c>
      <c r="P19" s="3">
        <f>IFERROR((VLOOKUP(E19,Products!$A$2:$D$7,3,FALSE)+VLOOKUP(E19,Products!$A$2:$D$7,4,FALSE))*F19,"")</f>
        <v>18.7</v>
      </c>
      <c r="Q19" s="3">
        <f t="shared" si="3"/>
        <v>1.72</v>
      </c>
      <c r="R19" s="3">
        <f t="shared" si="4"/>
        <v>30.3</v>
      </c>
      <c r="S19" s="3" t="str">
        <f>IF(COUNTIF($A$2:A19,A19)&gt;1,"Duplicate order ID",IF(D19&lt;&gt;IF(C19="US","USD",IF(C19="CA","CAD","GBP")),"Currency does not match market",IF(F19&lt;=0,"Quantity is 0 or less",IF(ISNA(MATCH(E19,Products!$A$2:$A$7,0)),"SKU not in product list",IF(I19&gt;L19-H19,"Refund bigger than the sale","")))))</f>
        <v/>
      </c>
    </row>
    <row r="20" spans="1:19">
      <c r="A20" s="9" t="s">
        <v>78</v>
      </c>
      <c r="B20" s="10">
        <v>46276</v>
      </c>
      <c r="C20" s="9" t="s">
        <v>59</v>
      </c>
      <c r="D20" s="9" t="s">
        <v>19</v>
      </c>
      <c r="E20" s="9" t="s">
        <v>32</v>
      </c>
      <c r="F20" s="9">
        <v>1</v>
      </c>
      <c r="G20" s="3">
        <v>34</v>
      </c>
      <c r="H20" s="3">
        <v>0</v>
      </c>
      <c r="I20" s="3">
        <v>0</v>
      </c>
      <c r="J20" s="3">
        <v>34</v>
      </c>
      <c r="K20" s="3">
        <v>1.29</v>
      </c>
      <c r="L20" s="3">
        <f t="shared" si="0"/>
        <v>34</v>
      </c>
      <c r="M20" s="3">
        <f t="shared" si="1"/>
        <v>0</v>
      </c>
      <c r="N20" s="11">
        <f>VLOOKUP(D20,Rates!$A$2:$B$4,2,FALSE)</f>
        <v>1</v>
      </c>
      <c r="O20" s="3">
        <f t="shared" si="2"/>
        <v>0</v>
      </c>
      <c r="P20" s="3">
        <f>IFERROR((VLOOKUP(E20,Products!$A$2:$D$7,3,FALSE)+VLOOKUP(E20,Products!$A$2:$D$7,4,FALSE))*F20,"")</f>
        <v>12.9</v>
      </c>
      <c r="Q20" s="3">
        <f t="shared" si="3"/>
        <v>1.29</v>
      </c>
      <c r="R20" s="3">
        <f t="shared" si="4"/>
        <v>-12.9</v>
      </c>
      <c r="S20" s="3" t="str">
        <f>IF(COUNTIF($A$2:A20,A20)&gt;1,"Duplicate order ID",IF(D20&lt;&gt;IF(C20="US","USD",IF(C20="CA","CAD","GBP")),"Currency does not match market",IF(F20&lt;=0,"Quantity is 0 or less",IF(ISNA(MATCH(E20,Products!$A$2:$A$7,0)),"SKU not in product list",IF(I20&gt;L20-H20,"Refund bigger than the sale","")))))</f>
        <v/>
      </c>
    </row>
    <row r="21" spans="1:19">
      <c r="A21" s="9" t="s">
        <v>79</v>
      </c>
      <c r="B21" s="10">
        <v>46277</v>
      </c>
      <c r="C21" s="9" t="s">
        <v>59</v>
      </c>
      <c r="D21" s="9" t="s">
        <v>19</v>
      </c>
      <c r="E21" s="9" t="s">
        <v>32</v>
      </c>
      <c r="F21" s="9">
        <v>1</v>
      </c>
      <c r="G21" s="3">
        <v>34</v>
      </c>
      <c r="H21" s="3">
        <v>0</v>
      </c>
      <c r="I21" s="3">
        <v>0</v>
      </c>
      <c r="J21" s="3">
        <v>0</v>
      </c>
      <c r="K21" s="3">
        <v>1.29</v>
      </c>
      <c r="L21" s="3">
        <f t="shared" si="0"/>
        <v>34</v>
      </c>
      <c r="M21" s="3">
        <f t="shared" si="1"/>
        <v>34</v>
      </c>
      <c r="N21" s="11">
        <f>VLOOKUP(D21,Rates!$A$2:$B$4,2,FALSE)</f>
        <v>1</v>
      </c>
      <c r="O21" s="3">
        <f t="shared" si="2"/>
        <v>34</v>
      </c>
      <c r="P21" s="3">
        <f>IFERROR((VLOOKUP(E21,Products!$A$2:$D$7,3,FALSE)+VLOOKUP(E21,Products!$A$2:$D$7,4,FALSE))*F21,"")</f>
        <v>12.9</v>
      </c>
      <c r="Q21" s="3">
        <f t="shared" si="3"/>
        <v>1.29</v>
      </c>
      <c r="R21" s="3">
        <f t="shared" si="4"/>
        <v>21.1</v>
      </c>
      <c r="S21" s="3" t="str">
        <f>IF(COUNTIF($A$2:A21,A21)&gt;1,"Duplicate order ID",IF(D21&lt;&gt;IF(C21="US","USD",IF(C21="CA","CAD","GBP")),"Currency does not match market",IF(F21&lt;=0,"Quantity is 0 or less",IF(ISNA(MATCH(E21,Products!$A$2:$A$7,0)),"SKU not in product list",IF(I21&gt;L21-H21,"Refund bigger than the sale","")))))</f>
        <v/>
      </c>
    </row>
    <row r="22" spans="1:19">
      <c r="A22" s="9" t="s">
        <v>80</v>
      </c>
      <c r="B22" s="10">
        <v>46277</v>
      </c>
      <c r="C22" s="9" t="s">
        <v>59</v>
      </c>
      <c r="D22" s="9" t="s">
        <v>19</v>
      </c>
      <c r="E22" s="9" t="s">
        <v>40</v>
      </c>
      <c r="F22" s="9">
        <v>1</v>
      </c>
      <c r="G22" s="3">
        <v>45</v>
      </c>
      <c r="H22" s="3">
        <v>0</v>
      </c>
      <c r="I22" s="3">
        <v>0</v>
      </c>
      <c r="J22" s="3">
        <v>0</v>
      </c>
      <c r="K22" s="3">
        <v>1.61</v>
      </c>
      <c r="L22" s="3">
        <f t="shared" si="0"/>
        <v>45</v>
      </c>
      <c r="M22" s="3">
        <f t="shared" si="1"/>
        <v>45</v>
      </c>
      <c r="N22" s="11">
        <f>VLOOKUP(D22,Rates!$A$2:$B$4,2,FALSE)</f>
        <v>1</v>
      </c>
      <c r="O22" s="3">
        <f t="shared" si="2"/>
        <v>45</v>
      </c>
      <c r="P22" s="3">
        <f>IFERROR((VLOOKUP(E22,Products!$A$2:$D$7,3,FALSE)+VLOOKUP(E22,Products!$A$2:$D$7,4,FALSE))*F22,"")</f>
        <v>17.5</v>
      </c>
      <c r="Q22" s="3">
        <f t="shared" si="3"/>
        <v>1.61</v>
      </c>
      <c r="R22" s="3">
        <f t="shared" si="4"/>
        <v>27.5</v>
      </c>
      <c r="S22" s="3" t="str">
        <f>IF(COUNTIF($A$2:A22,A22)&gt;1,"Duplicate order ID",IF(D22&lt;&gt;IF(C22="US","USD",IF(C22="CA","CAD","GBP")),"Currency does not match market",IF(F22&lt;=0,"Quantity is 0 or less",IF(ISNA(MATCH(E22,Products!$A$2:$A$7,0)),"SKU not in product list",IF(I22&gt;L22-H22,"Refund bigger than the sale","")))))</f>
        <v/>
      </c>
    </row>
    <row r="23" spans="1:19">
      <c r="A23" s="9" t="s">
        <v>81</v>
      </c>
      <c r="B23" s="10">
        <v>46278</v>
      </c>
      <c r="C23" s="9" t="s">
        <v>63</v>
      </c>
      <c r="D23" s="9" t="s">
        <v>21</v>
      </c>
      <c r="E23" s="9" t="s">
        <v>32</v>
      </c>
      <c r="F23" s="9">
        <v>1</v>
      </c>
      <c r="G23" s="3">
        <v>45</v>
      </c>
      <c r="H23" s="3">
        <v>0</v>
      </c>
      <c r="I23" s="3">
        <v>0</v>
      </c>
      <c r="J23" s="3">
        <v>0</v>
      </c>
      <c r="K23" s="3">
        <v>1.61</v>
      </c>
      <c r="L23" s="3">
        <f t="shared" si="0"/>
        <v>45</v>
      </c>
      <c r="M23" s="3">
        <f t="shared" si="1"/>
        <v>45</v>
      </c>
      <c r="N23" s="11">
        <f>VLOOKUP(D23,Rates!$A$2:$B$4,2,FALSE)</f>
        <v>0.73</v>
      </c>
      <c r="O23" s="3">
        <f t="shared" si="2"/>
        <v>32.85</v>
      </c>
      <c r="P23" s="3">
        <f>IFERROR((VLOOKUP(E23,Products!$A$2:$D$7,3,FALSE)+VLOOKUP(E23,Products!$A$2:$D$7,4,FALSE))*F23,"")</f>
        <v>12.9</v>
      </c>
      <c r="Q23" s="3">
        <f t="shared" si="3"/>
        <v>1.1753</v>
      </c>
      <c r="R23" s="3">
        <f t="shared" si="4"/>
        <v>19.95</v>
      </c>
      <c r="S23" s="3" t="str">
        <f>IF(COUNTIF($A$2:A23,A23)&gt;1,"Duplicate order ID",IF(D23&lt;&gt;IF(C23="US","USD",IF(C23="CA","CAD","GBP")),"Currency does not match market",IF(F23&lt;=0,"Quantity is 0 or less",IF(ISNA(MATCH(E23,Products!$A$2:$A$7,0)),"SKU not in product list",IF(I23&gt;L23-H23,"Refund bigger than the sale","")))))</f>
        <v/>
      </c>
    </row>
    <row r="24" spans="1:19">
      <c r="A24" s="9" t="s">
        <v>82</v>
      </c>
      <c r="B24" s="10">
        <v>46278</v>
      </c>
      <c r="C24" s="9" t="s">
        <v>59</v>
      </c>
      <c r="D24" s="9" t="s">
        <v>19</v>
      </c>
      <c r="E24" s="9" t="s">
        <v>40</v>
      </c>
      <c r="F24" s="9">
        <v>1</v>
      </c>
      <c r="G24" s="3">
        <v>45</v>
      </c>
      <c r="H24" s="3">
        <v>0</v>
      </c>
      <c r="I24" s="3">
        <v>0</v>
      </c>
      <c r="J24" s="3">
        <v>0</v>
      </c>
      <c r="K24" s="3">
        <v>1.61</v>
      </c>
      <c r="L24" s="3">
        <f t="shared" si="0"/>
        <v>45</v>
      </c>
      <c r="M24" s="3">
        <f t="shared" si="1"/>
        <v>45</v>
      </c>
      <c r="N24" s="11">
        <f>VLOOKUP(D24,Rates!$A$2:$B$4,2,FALSE)</f>
        <v>1</v>
      </c>
      <c r="O24" s="3">
        <f t="shared" si="2"/>
        <v>45</v>
      </c>
      <c r="P24" s="3">
        <f>IFERROR((VLOOKUP(E24,Products!$A$2:$D$7,3,FALSE)+VLOOKUP(E24,Products!$A$2:$D$7,4,FALSE))*F24,"")</f>
        <v>17.5</v>
      </c>
      <c r="Q24" s="3">
        <f t="shared" si="3"/>
        <v>1.61</v>
      </c>
      <c r="R24" s="3">
        <f t="shared" si="4"/>
        <v>27.5</v>
      </c>
      <c r="S24" s="3" t="str">
        <f>IF(COUNTIF($A$2:A24,A24)&gt;1,"Duplicate order ID",IF(D24&lt;&gt;IF(C24="US","USD",IF(C24="CA","CAD","GBP")),"Currency does not match market",IF(F24&lt;=0,"Quantity is 0 or less",IF(ISNA(MATCH(E24,Products!$A$2:$A$7,0)),"SKU not in product list",IF(I24&gt;L24-H24,"Refund bigger than the sale","")))))</f>
        <v/>
      </c>
    </row>
    <row r="25" spans="1:19">
      <c r="A25" s="9" t="s">
        <v>83</v>
      </c>
      <c r="B25" s="10">
        <v>46279</v>
      </c>
      <c r="C25" s="9" t="s">
        <v>63</v>
      </c>
      <c r="D25" s="9" t="s">
        <v>21</v>
      </c>
      <c r="E25" s="9" t="s">
        <v>34</v>
      </c>
      <c r="F25" s="9">
        <v>3</v>
      </c>
      <c r="G25" s="3">
        <v>79</v>
      </c>
      <c r="H25" s="3">
        <v>0</v>
      </c>
      <c r="I25" s="3">
        <v>0</v>
      </c>
      <c r="J25" s="3">
        <v>0</v>
      </c>
      <c r="K25" s="3">
        <v>7.17</v>
      </c>
      <c r="L25" s="3">
        <f t="shared" si="0"/>
        <v>237</v>
      </c>
      <c r="M25" s="3">
        <f t="shared" si="1"/>
        <v>237</v>
      </c>
      <c r="N25" s="11">
        <f>VLOOKUP(D25,Rates!$A$2:$B$4,2,FALSE)</f>
        <v>0.73</v>
      </c>
      <c r="O25" s="3">
        <f t="shared" si="2"/>
        <v>173.01</v>
      </c>
      <c r="P25" s="3">
        <f>IFERROR((VLOOKUP(E25,Products!$A$2:$D$7,3,FALSE)+VLOOKUP(E25,Products!$A$2:$D$7,4,FALSE))*F25,"")</f>
        <v>64.8</v>
      </c>
      <c r="Q25" s="3">
        <f t="shared" si="3"/>
        <v>5.2341</v>
      </c>
      <c r="R25" s="3">
        <f t="shared" si="4"/>
        <v>108.21</v>
      </c>
      <c r="S25" s="3" t="str">
        <f>IF(COUNTIF($A$2:A25,A25)&gt;1,"Duplicate order ID",IF(D25&lt;&gt;IF(C25="US","USD",IF(C25="CA","CAD","GBP")),"Currency does not match market",IF(F25&lt;=0,"Quantity is 0 or less",IF(ISNA(MATCH(E25,Products!$A$2:$A$7,0)),"SKU not in product list",IF(I25&gt;L25-H25,"Refund bigger than the sale","")))))</f>
        <v/>
      </c>
    </row>
    <row r="26" spans="1:19">
      <c r="A26" s="9" t="s">
        <v>84</v>
      </c>
      <c r="B26" s="10">
        <v>46280</v>
      </c>
      <c r="C26" s="9" t="s">
        <v>63</v>
      </c>
      <c r="D26" s="9" t="s">
        <v>21</v>
      </c>
      <c r="E26" s="9" t="s">
        <v>32</v>
      </c>
      <c r="F26" s="9">
        <v>1</v>
      </c>
      <c r="G26" s="3">
        <v>45</v>
      </c>
      <c r="H26" s="3">
        <v>0</v>
      </c>
      <c r="I26" s="3">
        <v>0</v>
      </c>
      <c r="J26" s="3">
        <v>0</v>
      </c>
      <c r="K26" s="3">
        <v>1.61</v>
      </c>
      <c r="L26" s="3">
        <f t="shared" si="0"/>
        <v>45</v>
      </c>
      <c r="M26" s="3">
        <f t="shared" si="1"/>
        <v>45</v>
      </c>
      <c r="N26" s="11">
        <f>VLOOKUP(D26,Rates!$A$2:$B$4,2,FALSE)</f>
        <v>0.73</v>
      </c>
      <c r="O26" s="3">
        <f t="shared" si="2"/>
        <v>32.85</v>
      </c>
      <c r="P26" s="3">
        <f>IFERROR((VLOOKUP(E26,Products!$A$2:$D$7,3,FALSE)+VLOOKUP(E26,Products!$A$2:$D$7,4,FALSE))*F26,"")</f>
        <v>12.9</v>
      </c>
      <c r="Q26" s="3">
        <f t="shared" si="3"/>
        <v>1.1753</v>
      </c>
      <c r="R26" s="3">
        <f t="shared" si="4"/>
        <v>19.95</v>
      </c>
      <c r="S26" s="3" t="str">
        <f>IF(COUNTIF($A$2:A26,A26)&gt;1,"Duplicate order ID",IF(D26&lt;&gt;IF(C26="US","USD",IF(C26="CA","CAD","GBP")),"Currency does not match market",IF(F26&lt;=0,"Quantity is 0 or less",IF(ISNA(MATCH(E26,Products!$A$2:$A$7,0)),"SKU not in product list",IF(I26&gt;L26-H26,"Refund bigger than the sale","")))))</f>
        <v/>
      </c>
    </row>
    <row r="27" spans="1:19">
      <c r="A27" s="9" t="s">
        <v>85</v>
      </c>
      <c r="B27" s="10">
        <v>46280</v>
      </c>
      <c r="C27" s="9" t="s">
        <v>63</v>
      </c>
      <c r="D27" s="9" t="s">
        <v>21</v>
      </c>
      <c r="E27" s="9" t="s">
        <v>40</v>
      </c>
      <c r="F27" s="9">
        <v>2</v>
      </c>
      <c r="G27" s="3">
        <v>59</v>
      </c>
      <c r="H27" s="3">
        <v>0</v>
      </c>
      <c r="I27" s="3">
        <v>138</v>
      </c>
      <c r="J27" s="3">
        <v>0</v>
      </c>
      <c r="K27" s="3">
        <v>3.72</v>
      </c>
      <c r="L27" s="3">
        <f t="shared" si="0"/>
        <v>118</v>
      </c>
      <c r="M27" s="3">
        <f t="shared" si="1"/>
        <v>-20</v>
      </c>
      <c r="N27" s="11">
        <f>VLOOKUP(D27,Rates!$A$2:$B$4,2,FALSE)</f>
        <v>0.73</v>
      </c>
      <c r="O27" s="3">
        <f t="shared" si="2"/>
        <v>-14.6</v>
      </c>
      <c r="P27" s="3">
        <f>IFERROR((VLOOKUP(E27,Products!$A$2:$D$7,3,FALSE)+VLOOKUP(E27,Products!$A$2:$D$7,4,FALSE))*F27,"")</f>
        <v>35</v>
      </c>
      <c r="Q27" s="3">
        <f t="shared" si="3"/>
        <v>2.7156</v>
      </c>
      <c r="R27" s="3">
        <f t="shared" si="4"/>
        <v>-49.6</v>
      </c>
      <c r="S27" s="3" t="str">
        <f>IF(COUNTIF($A$2:A27,A27)&gt;1,"Duplicate order ID",IF(D27&lt;&gt;IF(C27="US","USD",IF(C27="CA","CAD","GBP")),"Currency does not match market",IF(F27&lt;=0,"Quantity is 0 or less",IF(ISNA(MATCH(E27,Products!$A$2:$A$7,0)),"SKU not in product list",IF(I27&gt;L27-H27,"Refund bigger than the sale","")))))</f>
        <v>Refund bigger than the sale</v>
      </c>
    </row>
    <row r="28" spans="1:19">
      <c r="A28" s="9" t="s">
        <v>86</v>
      </c>
      <c r="B28" s="10">
        <v>46281</v>
      </c>
      <c r="C28" s="9" t="s">
        <v>61</v>
      </c>
      <c r="D28" s="9" t="s">
        <v>19</v>
      </c>
      <c r="E28" s="9" t="s">
        <v>32</v>
      </c>
      <c r="F28" s="9">
        <v>2</v>
      </c>
      <c r="G28" s="3">
        <v>27</v>
      </c>
      <c r="H28" s="3">
        <v>0</v>
      </c>
      <c r="I28" s="3">
        <v>0</v>
      </c>
      <c r="J28" s="3">
        <v>0</v>
      </c>
      <c r="K28" s="3">
        <v>1.87</v>
      </c>
      <c r="L28" s="3">
        <f t="shared" si="0"/>
        <v>54</v>
      </c>
      <c r="M28" s="3">
        <f t="shared" si="1"/>
        <v>54</v>
      </c>
      <c r="N28" s="11">
        <f>VLOOKUP(D28,Rates!$A$2:$B$4,2,FALSE)</f>
        <v>1</v>
      </c>
      <c r="O28" s="3">
        <f t="shared" si="2"/>
        <v>54</v>
      </c>
      <c r="P28" s="3">
        <f>IFERROR((VLOOKUP(E28,Products!$A$2:$D$7,3,FALSE)+VLOOKUP(E28,Products!$A$2:$D$7,4,FALSE))*F28,"")</f>
        <v>25.8</v>
      </c>
      <c r="Q28" s="3">
        <f t="shared" si="3"/>
        <v>1.87</v>
      </c>
      <c r="R28" s="3">
        <f t="shared" si="4"/>
        <v>28.2</v>
      </c>
      <c r="S28" s="3" t="str">
        <f>IF(COUNTIF($A$2:A28,A28)&gt;1,"Duplicate order ID",IF(D28&lt;&gt;IF(C28="US","USD",IF(C28="CA","CAD","GBP")),"Currency does not match market",IF(F28&lt;=0,"Quantity is 0 or less",IF(ISNA(MATCH(E28,Products!$A$2:$A$7,0)),"SKU not in product list",IF(I28&gt;L28-H28,"Refund bigger than the sale","")))))</f>
        <v>Currency does not match market</v>
      </c>
    </row>
    <row r="29" spans="1:19">
      <c r="A29" s="9" t="s">
        <v>87</v>
      </c>
      <c r="B29" s="10">
        <v>46282</v>
      </c>
      <c r="C29" s="9" t="s">
        <v>63</v>
      </c>
      <c r="D29" s="9" t="s">
        <v>21</v>
      </c>
      <c r="E29" s="9" t="s">
        <v>34</v>
      </c>
      <c r="F29" s="9">
        <v>1</v>
      </c>
      <c r="G29" s="3">
        <v>79</v>
      </c>
      <c r="H29" s="3">
        <v>0</v>
      </c>
      <c r="I29" s="3">
        <v>0</v>
      </c>
      <c r="J29" s="3">
        <v>0</v>
      </c>
      <c r="K29" s="3">
        <v>2.59</v>
      </c>
      <c r="L29" s="3">
        <f t="shared" si="0"/>
        <v>79</v>
      </c>
      <c r="M29" s="3">
        <f t="shared" si="1"/>
        <v>79</v>
      </c>
      <c r="N29" s="11">
        <f>VLOOKUP(D29,Rates!$A$2:$B$4,2,FALSE)</f>
        <v>0.73</v>
      </c>
      <c r="O29" s="3">
        <f t="shared" si="2"/>
        <v>57.67</v>
      </c>
      <c r="P29" s="3">
        <f>IFERROR((VLOOKUP(E29,Products!$A$2:$D$7,3,FALSE)+VLOOKUP(E29,Products!$A$2:$D$7,4,FALSE))*F29,"")</f>
        <v>21.6</v>
      </c>
      <c r="Q29" s="3">
        <f t="shared" si="3"/>
        <v>1.8907</v>
      </c>
      <c r="R29" s="3">
        <f t="shared" si="4"/>
        <v>36.07</v>
      </c>
      <c r="S29" s="3" t="str">
        <f>IF(COUNTIF($A$2:A29,A29)&gt;1,"Duplicate order ID",IF(D29&lt;&gt;IF(C29="US","USD",IF(C29="CA","CAD","GBP")),"Currency does not match market",IF(F29&lt;=0,"Quantity is 0 or less",IF(ISNA(MATCH(E29,Products!$A$2:$A$7,0)),"SKU not in product list",IF(I29&gt;L29-H29,"Refund bigger than the sale","")))))</f>
        <v/>
      </c>
    </row>
    <row r="30" spans="1:19">
      <c r="A30" s="9" t="s">
        <v>88</v>
      </c>
      <c r="B30" s="10">
        <v>46282</v>
      </c>
      <c r="C30" s="9" t="s">
        <v>59</v>
      </c>
      <c r="D30" s="9" t="s">
        <v>19</v>
      </c>
      <c r="E30" s="9" t="s">
        <v>34</v>
      </c>
      <c r="F30" s="9">
        <v>1</v>
      </c>
      <c r="G30" s="3">
        <v>59</v>
      </c>
      <c r="H30" s="3">
        <v>0</v>
      </c>
      <c r="I30" s="3">
        <v>0</v>
      </c>
      <c r="J30" s="3">
        <v>0</v>
      </c>
      <c r="K30" s="3">
        <v>2.01</v>
      </c>
      <c r="L30" s="3">
        <f t="shared" si="0"/>
        <v>59</v>
      </c>
      <c r="M30" s="3">
        <f t="shared" si="1"/>
        <v>59</v>
      </c>
      <c r="N30" s="11">
        <f>VLOOKUP(D30,Rates!$A$2:$B$4,2,FALSE)</f>
        <v>1</v>
      </c>
      <c r="O30" s="3">
        <f t="shared" si="2"/>
        <v>59</v>
      </c>
      <c r="P30" s="3">
        <f>IFERROR((VLOOKUP(E30,Products!$A$2:$D$7,3,FALSE)+VLOOKUP(E30,Products!$A$2:$D$7,4,FALSE))*F30,"")</f>
        <v>21.6</v>
      </c>
      <c r="Q30" s="3">
        <f t="shared" si="3"/>
        <v>2.01</v>
      </c>
      <c r="R30" s="3">
        <f t="shared" si="4"/>
        <v>37.4</v>
      </c>
      <c r="S30" s="3" t="str">
        <f>IF(COUNTIF($A$2:A30,A30)&gt;1,"Duplicate order ID",IF(D30&lt;&gt;IF(C30="US","USD",IF(C30="CA","CAD","GBP")),"Currency does not match market",IF(F30&lt;=0,"Quantity is 0 or less",IF(ISNA(MATCH(E30,Products!$A$2:$A$7,0)),"SKU not in product list",IF(I30&gt;L30-H30,"Refund bigger than the sale","")))))</f>
        <v/>
      </c>
    </row>
    <row r="31" spans="1:19">
      <c r="A31" s="9" t="s">
        <v>89</v>
      </c>
      <c r="B31" s="10">
        <v>46283</v>
      </c>
      <c r="C31" s="9" t="s">
        <v>61</v>
      </c>
      <c r="D31" s="9" t="s">
        <v>22</v>
      </c>
      <c r="E31" s="9" t="s">
        <v>34</v>
      </c>
      <c r="F31" s="9">
        <v>2</v>
      </c>
      <c r="G31" s="3">
        <v>47</v>
      </c>
      <c r="H31" s="3">
        <v>0</v>
      </c>
      <c r="I31" s="3">
        <v>0</v>
      </c>
      <c r="J31" s="3">
        <v>0</v>
      </c>
      <c r="K31" s="3">
        <v>3.03</v>
      </c>
      <c r="L31" s="3">
        <f t="shared" si="0"/>
        <v>94</v>
      </c>
      <c r="M31" s="3">
        <f t="shared" si="1"/>
        <v>94</v>
      </c>
      <c r="N31" s="11">
        <f>VLOOKUP(D31,Rates!$A$2:$B$4,2,FALSE)</f>
        <v>1.34</v>
      </c>
      <c r="O31" s="3">
        <f t="shared" si="2"/>
        <v>125.96</v>
      </c>
      <c r="P31" s="3">
        <f>IFERROR((VLOOKUP(E31,Products!$A$2:$D$7,3,FALSE)+VLOOKUP(E31,Products!$A$2:$D$7,4,FALSE))*F31,"")</f>
        <v>43.2</v>
      </c>
      <c r="Q31" s="3">
        <f t="shared" si="3"/>
        <v>4.0602</v>
      </c>
      <c r="R31" s="3">
        <f t="shared" si="4"/>
        <v>82.76</v>
      </c>
      <c r="S31" s="3" t="str">
        <f>IF(COUNTIF($A$2:A31,A31)&gt;1,"Duplicate order ID",IF(D31&lt;&gt;IF(C31="US","USD",IF(C31="CA","CAD","GBP")),"Currency does not match market",IF(F31&lt;=0,"Quantity is 0 or less",IF(ISNA(MATCH(E31,Products!$A$2:$A$7,0)),"SKU not in product list",IF(I31&gt;L31-H31,"Refund bigger than the sale","")))))</f>
        <v/>
      </c>
    </row>
    <row r="32" spans="1:19">
      <c r="A32" s="9" t="s">
        <v>90</v>
      </c>
      <c r="B32" s="10">
        <v>46283</v>
      </c>
      <c r="C32" s="9" t="s">
        <v>61</v>
      </c>
      <c r="D32" s="9" t="s">
        <v>22</v>
      </c>
      <c r="E32" s="9" t="s">
        <v>91</v>
      </c>
      <c r="F32" s="9">
        <v>1</v>
      </c>
      <c r="G32" s="3">
        <v>36</v>
      </c>
      <c r="H32" s="3">
        <v>0</v>
      </c>
      <c r="I32" s="3">
        <v>0</v>
      </c>
      <c r="J32" s="3">
        <v>0</v>
      </c>
      <c r="K32" s="3">
        <v>1.34</v>
      </c>
      <c r="L32" s="3">
        <f t="shared" si="0"/>
        <v>36</v>
      </c>
      <c r="M32" s="3">
        <f t="shared" si="1"/>
        <v>36</v>
      </c>
      <c r="N32" s="11">
        <f>VLOOKUP(D32,Rates!$A$2:$B$4,2,FALSE)</f>
        <v>1.34</v>
      </c>
      <c r="O32" s="3">
        <f t="shared" si="2"/>
        <v>48.24</v>
      </c>
      <c r="P32" s="3" t="str">
        <f>IFERROR((VLOOKUP(E32,Products!$A$2:$D$7,3,FALSE)+VLOOKUP(E32,Products!$A$2:$D$7,4,FALSE))*F32,"")</f>
        <v/>
      </c>
      <c r="Q32" s="3">
        <f t="shared" si="3"/>
        <v>1.7956</v>
      </c>
      <c r="R32" s="3" t="str">
        <f t="shared" si="4"/>
        <v/>
      </c>
      <c r="S32" s="3" t="str">
        <f>IF(COUNTIF($A$2:A32,A32)&gt;1,"Duplicate order ID",IF(D32&lt;&gt;IF(C32="US","USD",IF(C32="CA","CAD","GBP")),"Currency does not match market",IF(F32&lt;=0,"Quantity is 0 or less",IF(ISNA(MATCH(E32,Products!$A$2:$A$7,0)),"SKU not in product list",IF(I32&gt;L32-H32,"Refund bigger than the sale","")))))</f>
        <v>SKU not in product list</v>
      </c>
    </row>
    <row r="33" spans="1:19">
      <c r="A33" s="9" t="s">
        <v>92</v>
      </c>
      <c r="B33" s="10">
        <v>46284</v>
      </c>
      <c r="C33" s="9" t="s">
        <v>59</v>
      </c>
      <c r="D33" s="9" t="s">
        <v>19</v>
      </c>
      <c r="E33" s="9" t="s">
        <v>38</v>
      </c>
      <c r="F33" s="9">
        <v>2</v>
      </c>
      <c r="G33" s="3">
        <v>22</v>
      </c>
      <c r="H33" s="3">
        <v>0</v>
      </c>
      <c r="I33" s="3">
        <v>22</v>
      </c>
      <c r="J33" s="3">
        <v>0</v>
      </c>
      <c r="K33" s="3">
        <v>1.58</v>
      </c>
      <c r="L33" s="3">
        <f t="shared" si="0"/>
        <v>44</v>
      </c>
      <c r="M33" s="3">
        <f t="shared" si="1"/>
        <v>22</v>
      </c>
      <c r="N33" s="11">
        <f>VLOOKUP(D33,Rates!$A$2:$B$4,2,FALSE)</f>
        <v>1</v>
      </c>
      <c r="O33" s="3">
        <f t="shared" si="2"/>
        <v>22</v>
      </c>
      <c r="P33" s="3">
        <f>IFERROR((VLOOKUP(E33,Products!$A$2:$D$7,3,FALSE)+VLOOKUP(E33,Products!$A$2:$D$7,4,FALSE))*F33,"")</f>
        <v>15.6</v>
      </c>
      <c r="Q33" s="3">
        <f t="shared" si="3"/>
        <v>1.58</v>
      </c>
      <c r="R33" s="3">
        <f t="shared" si="4"/>
        <v>6.4</v>
      </c>
      <c r="S33" s="3" t="str">
        <f>IF(COUNTIF($A$2:A33,A33)&gt;1,"Duplicate order ID",IF(D33&lt;&gt;IF(C33="US","USD",IF(C33="CA","CAD","GBP")),"Currency does not match market",IF(F33&lt;=0,"Quantity is 0 or less",IF(ISNA(MATCH(E33,Products!$A$2:$A$7,0)),"SKU not in product list",IF(I33&gt;L33-H33,"Refund bigger than the sale","")))))</f>
        <v/>
      </c>
    </row>
    <row r="34" spans="1:19">
      <c r="A34" s="9" t="s">
        <v>93</v>
      </c>
      <c r="B34" s="10">
        <v>46285</v>
      </c>
      <c r="C34" s="9" t="s">
        <v>59</v>
      </c>
      <c r="D34" s="9" t="s">
        <v>19</v>
      </c>
      <c r="E34" s="9" t="s">
        <v>34</v>
      </c>
      <c r="F34" s="9">
        <v>1</v>
      </c>
      <c r="G34" s="3">
        <v>59</v>
      </c>
      <c r="H34" s="3">
        <v>0</v>
      </c>
      <c r="I34" s="3">
        <v>0</v>
      </c>
      <c r="J34" s="3">
        <v>0</v>
      </c>
      <c r="K34" s="3">
        <v>2.01</v>
      </c>
      <c r="L34" s="3">
        <f t="shared" si="0"/>
        <v>59</v>
      </c>
      <c r="M34" s="3">
        <f t="shared" si="1"/>
        <v>59</v>
      </c>
      <c r="N34" s="11">
        <f>VLOOKUP(D34,Rates!$A$2:$B$4,2,FALSE)</f>
        <v>1</v>
      </c>
      <c r="O34" s="3">
        <f t="shared" si="2"/>
        <v>59</v>
      </c>
      <c r="P34" s="3">
        <f>IFERROR((VLOOKUP(E34,Products!$A$2:$D$7,3,FALSE)+VLOOKUP(E34,Products!$A$2:$D$7,4,FALSE))*F34,"")</f>
        <v>21.6</v>
      </c>
      <c r="Q34" s="3">
        <f t="shared" si="3"/>
        <v>2.01</v>
      </c>
      <c r="R34" s="3">
        <f t="shared" si="4"/>
        <v>37.4</v>
      </c>
      <c r="S34" s="3" t="str">
        <f>IF(COUNTIF($A$2:A34,A34)&gt;1,"Duplicate order ID",IF(D34&lt;&gt;IF(C34="US","USD",IF(C34="CA","CAD","GBP")),"Currency does not match market",IF(F34&lt;=0,"Quantity is 0 or less",IF(ISNA(MATCH(E34,Products!$A$2:$A$7,0)),"SKU not in product list",IF(I34&gt;L34-H34,"Refund bigger than the sale","")))))</f>
        <v/>
      </c>
    </row>
    <row r="35" spans="1:19">
      <c r="A35" s="9" t="s">
        <v>94</v>
      </c>
      <c r="B35" s="10">
        <v>46285</v>
      </c>
      <c r="C35" s="9" t="s">
        <v>63</v>
      </c>
      <c r="D35" s="9" t="s">
        <v>21</v>
      </c>
      <c r="E35" s="9" t="s">
        <v>30</v>
      </c>
      <c r="F35" s="9">
        <v>1</v>
      </c>
      <c r="G35" s="3">
        <v>65</v>
      </c>
      <c r="H35" s="3">
        <v>0</v>
      </c>
      <c r="I35" s="3">
        <v>0</v>
      </c>
      <c r="J35" s="3">
        <v>0</v>
      </c>
      <c r="K35" s="3">
        <v>2.19</v>
      </c>
      <c r="L35" s="3">
        <f t="shared" si="0"/>
        <v>65</v>
      </c>
      <c r="M35" s="3">
        <f t="shared" si="1"/>
        <v>65</v>
      </c>
      <c r="N35" s="11">
        <f>VLOOKUP(D35,Rates!$A$2:$B$4,2,FALSE)</f>
        <v>0.73</v>
      </c>
      <c r="O35" s="3">
        <f t="shared" si="2"/>
        <v>47.45</v>
      </c>
      <c r="P35" s="3">
        <f>IFERROR((VLOOKUP(E35,Products!$A$2:$D$7,3,FALSE)+VLOOKUP(E35,Products!$A$2:$D$7,4,FALSE))*F35,"")</f>
        <v>18.7</v>
      </c>
      <c r="Q35" s="3">
        <f t="shared" si="3"/>
        <v>1.5987</v>
      </c>
      <c r="R35" s="3">
        <f t="shared" si="4"/>
        <v>28.75</v>
      </c>
      <c r="S35" s="3" t="str">
        <f>IF(COUNTIF($A$2:A35,A35)&gt;1,"Duplicate order ID",IF(D35&lt;&gt;IF(C35="US","USD",IF(C35="CA","CAD","GBP")),"Currency does not match market",IF(F35&lt;=0,"Quantity is 0 or less",IF(ISNA(MATCH(E35,Products!$A$2:$A$7,0)),"SKU not in product list",IF(I35&gt;L35-H35,"Refund bigger than the sale","")))))</f>
        <v/>
      </c>
    </row>
    <row r="36" spans="1:19">
      <c r="A36" s="9" t="s">
        <v>95</v>
      </c>
      <c r="B36" s="10">
        <v>46286</v>
      </c>
      <c r="C36" s="9" t="s">
        <v>61</v>
      </c>
      <c r="D36" s="9" t="s">
        <v>22</v>
      </c>
      <c r="E36" s="9" t="s">
        <v>32</v>
      </c>
      <c r="F36" s="9">
        <v>1</v>
      </c>
      <c r="G36" s="3">
        <v>27</v>
      </c>
      <c r="H36" s="3">
        <v>0</v>
      </c>
      <c r="I36" s="3">
        <v>0</v>
      </c>
      <c r="J36" s="3">
        <v>0</v>
      </c>
      <c r="K36" s="3">
        <v>1.08</v>
      </c>
      <c r="L36" s="3">
        <f t="shared" si="0"/>
        <v>27</v>
      </c>
      <c r="M36" s="3">
        <f t="shared" si="1"/>
        <v>27</v>
      </c>
      <c r="N36" s="11">
        <f>VLOOKUP(D36,Rates!$A$2:$B$4,2,FALSE)</f>
        <v>1.34</v>
      </c>
      <c r="O36" s="3">
        <f t="shared" si="2"/>
        <v>36.18</v>
      </c>
      <c r="P36" s="3">
        <f>IFERROR((VLOOKUP(E36,Products!$A$2:$D$7,3,FALSE)+VLOOKUP(E36,Products!$A$2:$D$7,4,FALSE))*F36,"")</f>
        <v>12.9</v>
      </c>
      <c r="Q36" s="3">
        <f t="shared" si="3"/>
        <v>1.4472</v>
      </c>
      <c r="R36" s="3">
        <f t="shared" si="4"/>
        <v>23.28</v>
      </c>
      <c r="S36" s="3" t="str">
        <f>IF(COUNTIF($A$2:A36,A36)&gt;1,"Duplicate order ID",IF(D36&lt;&gt;IF(C36="US","USD",IF(C36="CA","CAD","GBP")),"Currency does not match market",IF(F36&lt;=0,"Quantity is 0 or less",IF(ISNA(MATCH(E36,Products!$A$2:$A$7,0)),"SKU not in product list",IF(I36&gt;L36-H36,"Refund bigger than the sale","")))))</f>
        <v/>
      </c>
    </row>
    <row r="37" spans="1:19">
      <c r="A37" s="9" t="s">
        <v>96</v>
      </c>
      <c r="B37" s="10">
        <v>46286</v>
      </c>
      <c r="C37" s="9" t="s">
        <v>59</v>
      </c>
      <c r="D37" s="9" t="s">
        <v>19</v>
      </c>
      <c r="E37" s="9" t="s">
        <v>40</v>
      </c>
      <c r="F37" s="9">
        <v>1</v>
      </c>
      <c r="G37" s="3">
        <v>45</v>
      </c>
      <c r="H37" s="3">
        <v>0</v>
      </c>
      <c r="I37" s="3">
        <v>0</v>
      </c>
      <c r="J37" s="3">
        <v>0</v>
      </c>
      <c r="K37" s="3">
        <v>1.61</v>
      </c>
      <c r="L37" s="3">
        <f t="shared" si="0"/>
        <v>45</v>
      </c>
      <c r="M37" s="3">
        <f t="shared" si="1"/>
        <v>45</v>
      </c>
      <c r="N37" s="11">
        <f>VLOOKUP(D37,Rates!$A$2:$B$4,2,FALSE)</f>
        <v>1</v>
      </c>
      <c r="O37" s="3">
        <f t="shared" si="2"/>
        <v>45</v>
      </c>
      <c r="P37" s="3">
        <f>IFERROR((VLOOKUP(E37,Products!$A$2:$D$7,3,FALSE)+VLOOKUP(E37,Products!$A$2:$D$7,4,FALSE))*F37,"")</f>
        <v>17.5</v>
      </c>
      <c r="Q37" s="3">
        <f t="shared" si="3"/>
        <v>1.61</v>
      </c>
      <c r="R37" s="3">
        <f t="shared" si="4"/>
        <v>27.5</v>
      </c>
      <c r="S37" s="3" t="str">
        <f>IF(COUNTIF($A$2:A37,A37)&gt;1,"Duplicate order ID",IF(D37&lt;&gt;IF(C37="US","USD",IF(C37="CA","CAD","GBP")),"Currency does not match market",IF(F37&lt;=0,"Quantity is 0 or less",IF(ISNA(MATCH(E37,Products!$A$2:$A$7,0)),"SKU not in product list",IF(I37&gt;L37-H37,"Refund bigger than the sale","")))))</f>
        <v/>
      </c>
    </row>
    <row r="38" spans="1:19">
      <c r="A38" s="9" t="s">
        <v>97</v>
      </c>
      <c r="B38" s="10">
        <v>46287</v>
      </c>
      <c r="C38" s="9" t="s">
        <v>59</v>
      </c>
      <c r="D38" s="9" t="s">
        <v>19</v>
      </c>
      <c r="E38" s="9" t="s">
        <v>38</v>
      </c>
      <c r="F38" s="9">
        <v>1</v>
      </c>
      <c r="G38" s="3">
        <v>22</v>
      </c>
      <c r="H38" s="3">
        <v>0</v>
      </c>
      <c r="I38" s="3">
        <v>0</v>
      </c>
      <c r="J38" s="3">
        <v>0</v>
      </c>
      <c r="K38" s="3">
        <v>0.94</v>
      </c>
      <c r="L38" s="3">
        <f t="shared" si="0"/>
        <v>22</v>
      </c>
      <c r="M38" s="3">
        <f t="shared" si="1"/>
        <v>22</v>
      </c>
      <c r="N38" s="11">
        <f>VLOOKUP(D38,Rates!$A$2:$B$4,2,FALSE)</f>
        <v>1</v>
      </c>
      <c r="O38" s="3">
        <f t="shared" si="2"/>
        <v>22</v>
      </c>
      <c r="P38" s="3">
        <f>IFERROR((VLOOKUP(E38,Products!$A$2:$D$7,3,FALSE)+VLOOKUP(E38,Products!$A$2:$D$7,4,FALSE))*F38,"")</f>
        <v>7.8</v>
      </c>
      <c r="Q38" s="3">
        <f t="shared" si="3"/>
        <v>0.94</v>
      </c>
      <c r="R38" s="3">
        <f t="shared" si="4"/>
        <v>14.2</v>
      </c>
      <c r="S38" s="3" t="str">
        <f>IF(COUNTIF($A$2:A38,A38)&gt;1,"Duplicate order ID",IF(D38&lt;&gt;IF(C38="US","USD",IF(C38="CA","CAD","GBP")),"Currency does not match market",IF(F38&lt;=0,"Quantity is 0 or less",IF(ISNA(MATCH(E38,Products!$A$2:$A$7,0)),"SKU not in product list",IF(I38&gt;L38-H38,"Refund bigger than the sale","")))))</f>
        <v/>
      </c>
    </row>
    <row r="39" spans="1:19">
      <c r="A39" s="9" t="s">
        <v>98</v>
      </c>
      <c r="B39" s="10">
        <v>46288</v>
      </c>
      <c r="C39" s="9" t="s">
        <v>59</v>
      </c>
      <c r="D39" s="9" t="s">
        <v>19</v>
      </c>
      <c r="E39" s="9" t="s">
        <v>36</v>
      </c>
      <c r="F39" s="9">
        <v>2</v>
      </c>
      <c r="G39" s="3">
        <v>42</v>
      </c>
      <c r="H39" s="3">
        <v>0</v>
      </c>
      <c r="I39" s="3">
        <v>84</v>
      </c>
      <c r="J39" s="3">
        <v>0</v>
      </c>
      <c r="K39" s="3">
        <v>2.74</v>
      </c>
      <c r="L39" s="3">
        <f t="shared" si="0"/>
        <v>84</v>
      </c>
      <c r="M39" s="3">
        <f t="shared" si="1"/>
        <v>0</v>
      </c>
      <c r="N39" s="11">
        <f>VLOOKUP(D39,Rates!$A$2:$B$4,2,FALSE)</f>
        <v>1</v>
      </c>
      <c r="O39" s="3">
        <f t="shared" si="2"/>
        <v>0</v>
      </c>
      <c r="P39" s="3">
        <f>IFERROR((VLOOKUP(E39,Products!$A$2:$D$7,3,FALSE)+VLOOKUP(E39,Products!$A$2:$D$7,4,FALSE))*F39,"")</f>
        <v>30.4</v>
      </c>
      <c r="Q39" s="3">
        <f t="shared" si="3"/>
        <v>2.74</v>
      </c>
      <c r="R39" s="3">
        <f t="shared" si="4"/>
        <v>-30.4</v>
      </c>
      <c r="S39" s="3" t="str">
        <f>IF(COUNTIF($A$2:A39,A39)&gt;1,"Duplicate order ID",IF(D39&lt;&gt;IF(C39="US","USD",IF(C39="CA","CAD","GBP")),"Currency does not match market",IF(F39&lt;=0,"Quantity is 0 or less",IF(ISNA(MATCH(E39,Products!$A$2:$A$7,0)),"SKU not in product list",IF(I39&gt;L39-H39,"Refund bigger than the sale","")))))</f>
        <v/>
      </c>
    </row>
    <row r="40" spans="1:19">
      <c r="A40" s="9" t="s">
        <v>99</v>
      </c>
      <c r="B40" s="10">
        <v>46288</v>
      </c>
      <c r="C40" s="9" t="s">
        <v>61</v>
      </c>
      <c r="D40" s="9" t="s">
        <v>22</v>
      </c>
      <c r="E40" s="9" t="s">
        <v>32</v>
      </c>
      <c r="F40" s="9">
        <v>1</v>
      </c>
      <c r="G40" s="3">
        <v>27</v>
      </c>
      <c r="H40" s="3">
        <v>0</v>
      </c>
      <c r="I40" s="3">
        <v>0</v>
      </c>
      <c r="J40" s="3">
        <v>0</v>
      </c>
      <c r="K40" s="3">
        <v>1.08</v>
      </c>
      <c r="L40" s="3">
        <f t="shared" si="0"/>
        <v>27</v>
      </c>
      <c r="M40" s="3">
        <f t="shared" si="1"/>
        <v>27</v>
      </c>
      <c r="N40" s="11">
        <f>VLOOKUP(D40,Rates!$A$2:$B$4,2,FALSE)</f>
        <v>1.34</v>
      </c>
      <c r="O40" s="3">
        <f t="shared" si="2"/>
        <v>36.18</v>
      </c>
      <c r="P40" s="3">
        <f>IFERROR((VLOOKUP(E40,Products!$A$2:$D$7,3,FALSE)+VLOOKUP(E40,Products!$A$2:$D$7,4,FALSE))*F40,"")</f>
        <v>12.9</v>
      </c>
      <c r="Q40" s="3">
        <f t="shared" si="3"/>
        <v>1.4472</v>
      </c>
      <c r="R40" s="3">
        <f t="shared" si="4"/>
        <v>23.28</v>
      </c>
      <c r="S40" s="3" t="str">
        <f>IF(COUNTIF($A$2:A40,A40)&gt;1,"Duplicate order ID",IF(D40&lt;&gt;IF(C40="US","USD",IF(C40="CA","CAD","GBP")),"Currency does not match market",IF(F40&lt;=0,"Quantity is 0 or less",IF(ISNA(MATCH(E40,Products!$A$2:$A$7,0)),"SKU not in product list",IF(I40&gt;L40-H40,"Refund bigger than the sale","")))))</f>
        <v/>
      </c>
    </row>
    <row r="41" spans="1:19">
      <c r="A41" s="9" t="s">
        <v>100</v>
      </c>
      <c r="B41" s="10">
        <v>46289</v>
      </c>
      <c r="C41" s="9" t="s">
        <v>59</v>
      </c>
      <c r="D41" s="9" t="s">
        <v>19</v>
      </c>
      <c r="E41" s="9" t="s">
        <v>30</v>
      </c>
      <c r="F41" s="9">
        <v>1</v>
      </c>
      <c r="G41" s="3">
        <v>49</v>
      </c>
      <c r="H41" s="3">
        <v>4.9</v>
      </c>
      <c r="I41" s="3">
        <v>0</v>
      </c>
      <c r="J41" s="3">
        <v>44.1</v>
      </c>
      <c r="K41" s="3">
        <v>1.58</v>
      </c>
      <c r="L41" s="3">
        <f t="shared" si="0"/>
        <v>49</v>
      </c>
      <c r="M41" s="3">
        <f t="shared" si="1"/>
        <v>0</v>
      </c>
      <c r="N41" s="11">
        <f>VLOOKUP(D41,Rates!$A$2:$B$4,2,FALSE)</f>
        <v>1</v>
      </c>
      <c r="O41" s="3">
        <f t="shared" si="2"/>
        <v>0</v>
      </c>
      <c r="P41" s="3">
        <f>IFERROR((VLOOKUP(E41,Products!$A$2:$D$7,3,FALSE)+VLOOKUP(E41,Products!$A$2:$D$7,4,FALSE))*F41,"")</f>
        <v>18.7</v>
      </c>
      <c r="Q41" s="3">
        <f t="shared" si="3"/>
        <v>1.58</v>
      </c>
      <c r="R41" s="3">
        <f t="shared" si="4"/>
        <v>-18.7</v>
      </c>
      <c r="S41" s="3" t="str">
        <f>IF(COUNTIF($A$2:A41,A41)&gt;1,"Duplicate order ID",IF(D41&lt;&gt;IF(C41="US","USD",IF(C41="CA","CAD","GBP")),"Currency does not match market",IF(F41&lt;=0,"Quantity is 0 or less",IF(ISNA(MATCH(E41,Products!$A$2:$A$7,0)),"SKU not in product list",IF(I41&gt;L41-H41,"Refund bigger than the sale","")))))</f>
        <v/>
      </c>
    </row>
    <row r="42" spans="1:19">
      <c r="A42" s="9" t="s">
        <v>101</v>
      </c>
      <c r="B42" s="10">
        <v>46290</v>
      </c>
      <c r="C42" s="9" t="s">
        <v>59</v>
      </c>
      <c r="D42" s="9" t="s">
        <v>19</v>
      </c>
      <c r="E42" s="9" t="s">
        <v>30</v>
      </c>
      <c r="F42" s="9">
        <v>0</v>
      </c>
      <c r="G42" s="3">
        <v>49</v>
      </c>
      <c r="H42" s="3">
        <v>0</v>
      </c>
      <c r="I42" s="3">
        <v>0</v>
      </c>
      <c r="J42" s="3">
        <v>0</v>
      </c>
      <c r="K42" s="3">
        <v>1.72</v>
      </c>
      <c r="L42" s="3">
        <f t="shared" si="0"/>
        <v>0</v>
      </c>
      <c r="M42" s="3">
        <f t="shared" si="1"/>
        <v>0</v>
      </c>
      <c r="N42" s="11">
        <f>VLOOKUP(D42,Rates!$A$2:$B$4,2,FALSE)</f>
        <v>1</v>
      </c>
      <c r="O42" s="3">
        <f t="shared" si="2"/>
        <v>0</v>
      </c>
      <c r="P42" s="3">
        <f>IFERROR((VLOOKUP(E42,Products!$A$2:$D$7,3,FALSE)+VLOOKUP(E42,Products!$A$2:$D$7,4,FALSE))*F42,"")</f>
        <v>0</v>
      </c>
      <c r="Q42" s="3">
        <f t="shared" si="3"/>
        <v>1.72</v>
      </c>
      <c r="R42" s="3">
        <f t="shared" si="4"/>
        <v>0</v>
      </c>
      <c r="S42" s="3" t="str">
        <f>IF(COUNTIF($A$2:A42,A42)&gt;1,"Duplicate order ID",IF(D42&lt;&gt;IF(C42="US","USD",IF(C42="CA","CAD","GBP")),"Currency does not match market",IF(F42&lt;=0,"Quantity is 0 or less",IF(ISNA(MATCH(E42,Products!$A$2:$A$7,0)),"SKU not in product list",IF(I42&gt;L42-H42,"Refund bigger than the sale","")))))</f>
        <v>Quantity is 0 or less</v>
      </c>
    </row>
    <row r="43" spans="1:19">
      <c r="A43" s="9" t="s">
        <v>102</v>
      </c>
      <c r="B43" s="10">
        <v>46290</v>
      </c>
      <c r="C43" s="9" t="s">
        <v>63</v>
      </c>
      <c r="D43" s="9" t="s">
        <v>21</v>
      </c>
      <c r="E43" s="9" t="s">
        <v>40</v>
      </c>
      <c r="F43" s="9">
        <v>1</v>
      </c>
      <c r="G43" s="3">
        <v>59</v>
      </c>
      <c r="H43" s="3">
        <v>0</v>
      </c>
      <c r="I43" s="3">
        <v>0</v>
      </c>
      <c r="J43" s="3">
        <v>0</v>
      </c>
      <c r="K43" s="3">
        <v>2.01</v>
      </c>
      <c r="L43" s="3">
        <f t="shared" si="0"/>
        <v>59</v>
      </c>
      <c r="M43" s="3">
        <f t="shared" si="1"/>
        <v>59</v>
      </c>
      <c r="N43" s="11">
        <f>VLOOKUP(D43,Rates!$A$2:$B$4,2,FALSE)</f>
        <v>0.73</v>
      </c>
      <c r="O43" s="3">
        <f t="shared" si="2"/>
        <v>43.07</v>
      </c>
      <c r="P43" s="3">
        <f>IFERROR((VLOOKUP(E43,Products!$A$2:$D$7,3,FALSE)+VLOOKUP(E43,Products!$A$2:$D$7,4,FALSE))*F43,"")</f>
        <v>17.5</v>
      </c>
      <c r="Q43" s="3">
        <f t="shared" si="3"/>
        <v>1.4673</v>
      </c>
      <c r="R43" s="3">
        <f t="shared" si="4"/>
        <v>25.57</v>
      </c>
      <c r="S43" s="3" t="str">
        <f>IF(COUNTIF($A$2:A43,A43)&gt;1,"Duplicate order ID",IF(D43&lt;&gt;IF(C43="US","USD",IF(C43="CA","CAD","GBP")),"Currency does not match market",IF(F43&lt;=0,"Quantity is 0 or less",IF(ISNA(MATCH(E43,Products!$A$2:$A$7,0)),"SKU not in product list",IF(I43&gt;L43-H43,"Refund bigger than the sale","")))))</f>
        <v/>
      </c>
    </row>
    <row r="44" spans="1:19">
      <c r="A44" s="9" t="s">
        <v>103</v>
      </c>
      <c r="B44" s="10">
        <v>46291</v>
      </c>
      <c r="C44" s="9" t="s">
        <v>59</v>
      </c>
      <c r="D44" s="9" t="s">
        <v>19</v>
      </c>
      <c r="E44" s="9" t="s">
        <v>32</v>
      </c>
      <c r="F44" s="9">
        <v>3</v>
      </c>
      <c r="G44" s="3">
        <v>34</v>
      </c>
      <c r="H44" s="3">
        <v>0</v>
      </c>
      <c r="I44" s="3">
        <v>102</v>
      </c>
      <c r="J44" s="3">
        <v>0</v>
      </c>
      <c r="K44" s="3">
        <v>3.26</v>
      </c>
      <c r="L44" s="3">
        <f t="shared" si="0"/>
        <v>102</v>
      </c>
      <c r="M44" s="3">
        <f t="shared" si="1"/>
        <v>0</v>
      </c>
      <c r="N44" s="11">
        <f>VLOOKUP(D44,Rates!$A$2:$B$4,2,FALSE)</f>
        <v>1</v>
      </c>
      <c r="O44" s="3">
        <f t="shared" si="2"/>
        <v>0</v>
      </c>
      <c r="P44" s="3">
        <f>IFERROR((VLOOKUP(E44,Products!$A$2:$D$7,3,FALSE)+VLOOKUP(E44,Products!$A$2:$D$7,4,FALSE))*F44,"")</f>
        <v>38.7</v>
      </c>
      <c r="Q44" s="3">
        <f t="shared" si="3"/>
        <v>3.26</v>
      </c>
      <c r="R44" s="3">
        <f t="shared" si="4"/>
        <v>-38.7</v>
      </c>
      <c r="S44" s="3" t="str">
        <f>IF(COUNTIF($A$2:A44,A44)&gt;1,"Duplicate order ID",IF(D44&lt;&gt;IF(C44="US","USD",IF(C44="CA","CAD","GBP")),"Currency does not match market",IF(F44&lt;=0,"Quantity is 0 or less",IF(ISNA(MATCH(E44,Products!$A$2:$A$7,0)),"SKU not in product list",IF(I44&gt;L44-H44,"Refund bigger than the sale","")))))</f>
        <v/>
      </c>
    </row>
    <row r="45" spans="1:19">
      <c r="A45" s="9" t="s">
        <v>104</v>
      </c>
      <c r="B45" s="10">
        <v>46291</v>
      </c>
      <c r="C45" s="9" t="s">
        <v>59</v>
      </c>
      <c r="D45" s="9" t="s">
        <v>19</v>
      </c>
      <c r="E45" s="9" t="s">
        <v>30</v>
      </c>
      <c r="F45" s="9">
        <v>1</v>
      </c>
      <c r="G45" s="3">
        <v>49</v>
      </c>
      <c r="H45" s="3">
        <v>4.9</v>
      </c>
      <c r="I45" s="3">
        <v>0</v>
      </c>
      <c r="J45" s="3">
        <v>0</v>
      </c>
      <c r="K45" s="3">
        <v>1.58</v>
      </c>
      <c r="L45" s="3">
        <f t="shared" si="0"/>
        <v>49</v>
      </c>
      <c r="M45" s="3">
        <f t="shared" si="1"/>
        <v>44.1</v>
      </c>
      <c r="N45" s="11">
        <f>VLOOKUP(D45,Rates!$A$2:$B$4,2,FALSE)</f>
        <v>1</v>
      </c>
      <c r="O45" s="3">
        <f t="shared" si="2"/>
        <v>44.1</v>
      </c>
      <c r="P45" s="3">
        <f>IFERROR((VLOOKUP(E45,Products!$A$2:$D$7,3,FALSE)+VLOOKUP(E45,Products!$A$2:$D$7,4,FALSE))*F45,"")</f>
        <v>18.7</v>
      </c>
      <c r="Q45" s="3">
        <f t="shared" si="3"/>
        <v>1.58</v>
      </c>
      <c r="R45" s="3">
        <f t="shared" si="4"/>
        <v>25.4</v>
      </c>
      <c r="S45" s="3" t="str">
        <f>IF(COUNTIF($A$2:A45,A45)&gt;1,"Duplicate order ID",IF(D45&lt;&gt;IF(C45="US","USD",IF(C45="CA","CAD","GBP")),"Currency does not match market",IF(F45&lt;=0,"Quantity is 0 or less",IF(ISNA(MATCH(E45,Products!$A$2:$A$7,0)),"SKU not in product list",IF(I45&gt;L45-H45,"Refund bigger than the sale","")))))</f>
        <v/>
      </c>
    </row>
    <row r="46" spans="1:19">
      <c r="A46" s="9" t="s">
        <v>105</v>
      </c>
      <c r="B46" s="10">
        <v>46292</v>
      </c>
      <c r="C46" s="9" t="s">
        <v>61</v>
      </c>
      <c r="D46" s="9" t="s">
        <v>22</v>
      </c>
      <c r="E46" s="9" t="s">
        <v>34</v>
      </c>
      <c r="F46" s="9">
        <v>1</v>
      </c>
      <c r="G46" s="3">
        <v>47</v>
      </c>
      <c r="H46" s="3">
        <v>0</v>
      </c>
      <c r="I46" s="3">
        <v>0</v>
      </c>
      <c r="J46" s="3">
        <v>0</v>
      </c>
      <c r="K46" s="3">
        <v>1.66</v>
      </c>
      <c r="L46" s="3">
        <f t="shared" si="0"/>
        <v>47</v>
      </c>
      <c r="M46" s="3">
        <f t="shared" si="1"/>
        <v>47</v>
      </c>
      <c r="N46" s="11">
        <f>VLOOKUP(D46,Rates!$A$2:$B$4,2,FALSE)</f>
        <v>1.34</v>
      </c>
      <c r="O46" s="3">
        <f t="shared" si="2"/>
        <v>62.98</v>
      </c>
      <c r="P46" s="3">
        <f>IFERROR((VLOOKUP(E46,Products!$A$2:$D$7,3,FALSE)+VLOOKUP(E46,Products!$A$2:$D$7,4,FALSE))*F46,"")</f>
        <v>21.6</v>
      </c>
      <c r="Q46" s="3">
        <f t="shared" si="3"/>
        <v>2.2244</v>
      </c>
      <c r="R46" s="3">
        <f t="shared" si="4"/>
        <v>41.38</v>
      </c>
      <c r="S46" s="3" t="str">
        <f>IF(COUNTIF($A$2:A46,A46)&gt;1,"Duplicate order ID",IF(D46&lt;&gt;IF(C46="US","USD",IF(C46="CA","CAD","GBP")),"Currency does not match market",IF(F46&lt;=0,"Quantity is 0 or less",IF(ISNA(MATCH(E46,Products!$A$2:$A$7,0)),"SKU not in product list",IF(I46&gt;L46-H46,"Refund bigger than the sale","")))))</f>
        <v/>
      </c>
    </row>
    <row r="47" spans="1:19">
      <c r="A47" s="9" t="s">
        <v>106</v>
      </c>
      <c r="B47" s="10">
        <v>46293</v>
      </c>
      <c r="C47" s="9" t="s">
        <v>59</v>
      </c>
      <c r="D47" s="9" t="s">
        <v>19</v>
      </c>
      <c r="E47" s="9" t="s">
        <v>36</v>
      </c>
      <c r="F47" s="9">
        <v>1</v>
      </c>
      <c r="G47" s="3">
        <v>42</v>
      </c>
      <c r="H47" s="3">
        <v>4.2</v>
      </c>
      <c r="I47" s="3">
        <v>0</v>
      </c>
      <c r="J47" s="3">
        <v>0</v>
      </c>
      <c r="K47" s="3">
        <v>1.4</v>
      </c>
      <c r="L47" s="3">
        <f t="shared" si="0"/>
        <v>42</v>
      </c>
      <c r="M47" s="3">
        <f t="shared" si="1"/>
        <v>37.8</v>
      </c>
      <c r="N47" s="11">
        <f>VLOOKUP(D47,Rates!$A$2:$B$4,2,FALSE)</f>
        <v>1</v>
      </c>
      <c r="O47" s="3">
        <f t="shared" si="2"/>
        <v>37.8</v>
      </c>
      <c r="P47" s="3">
        <f>IFERROR((VLOOKUP(E47,Products!$A$2:$D$7,3,FALSE)+VLOOKUP(E47,Products!$A$2:$D$7,4,FALSE))*F47,"")</f>
        <v>15.2</v>
      </c>
      <c r="Q47" s="3">
        <f t="shared" si="3"/>
        <v>1.4</v>
      </c>
      <c r="R47" s="3">
        <f t="shared" si="4"/>
        <v>22.6</v>
      </c>
      <c r="S47" s="3" t="str">
        <f>IF(COUNTIF($A$2:A47,A47)&gt;1,"Duplicate order ID",IF(D47&lt;&gt;IF(C47="US","USD",IF(C47="CA","CAD","GBP")),"Currency does not match market",IF(F47&lt;=0,"Quantity is 0 or less",IF(ISNA(MATCH(E47,Products!$A$2:$A$7,0)),"SKU not in product list",IF(I47&gt;L47-H47,"Refund bigger than the sale","")))))</f>
        <v/>
      </c>
    </row>
    <row r="48" spans="1:19">
      <c r="A48" s="9" t="s">
        <v>107</v>
      </c>
      <c r="B48" s="10">
        <v>46293</v>
      </c>
      <c r="C48" s="9" t="s">
        <v>59</v>
      </c>
      <c r="D48" s="9" t="s">
        <v>19</v>
      </c>
      <c r="E48" s="9" t="s">
        <v>36</v>
      </c>
      <c r="F48" s="9">
        <v>3</v>
      </c>
      <c r="G48" s="3">
        <v>42</v>
      </c>
      <c r="H48" s="3">
        <v>0</v>
      </c>
      <c r="I48" s="3">
        <v>0</v>
      </c>
      <c r="J48" s="3">
        <v>0</v>
      </c>
      <c r="K48" s="3">
        <v>3.95</v>
      </c>
      <c r="L48" s="3">
        <f t="shared" si="0"/>
        <v>126</v>
      </c>
      <c r="M48" s="3">
        <f t="shared" si="1"/>
        <v>126</v>
      </c>
      <c r="N48" s="11">
        <f>VLOOKUP(D48,Rates!$A$2:$B$4,2,FALSE)</f>
        <v>1</v>
      </c>
      <c r="O48" s="3">
        <f t="shared" si="2"/>
        <v>126</v>
      </c>
      <c r="P48" s="3">
        <f>IFERROR((VLOOKUP(E48,Products!$A$2:$D$7,3,FALSE)+VLOOKUP(E48,Products!$A$2:$D$7,4,FALSE))*F48,"")</f>
        <v>45.6</v>
      </c>
      <c r="Q48" s="3">
        <f t="shared" si="3"/>
        <v>3.95</v>
      </c>
      <c r="R48" s="3">
        <f t="shared" si="4"/>
        <v>80.4</v>
      </c>
      <c r="S48" s="3" t="str">
        <f>IF(COUNTIF($A$2:A48,A48)&gt;1,"Duplicate order ID",IF(D48&lt;&gt;IF(C48="US","USD",IF(C48="CA","CAD","GBP")),"Currency does not match market",IF(F48&lt;=0,"Quantity is 0 or less",IF(ISNA(MATCH(E48,Products!$A$2:$A$7,0)),"SKU not in product list",IF(I48&gt;L48-H48,"Refund bigger than the sale","")))))</f>
        <v/>
      </c>
    </row>
    <row r="49" spans="1:19">
      <c r="A49" s="9" t="s">
        <v>108</v>
      </c>
      <c r="B49" s="10">
        <v>46294</v>
      </c>
      <c r="C49" s="9" t="s">
        <v>59</v>
      </c>
      <c r="D49" s="9" t="s">
        <v>19</v>
      </c>
      <c r="E49" s="9" t="s">
        <v>34</v>
      </c>
      <c r="F49" s="9">
        <v>2</v>
      </c>
      <c r="G49" s="3">
        <v>59</v>
      </c>
      <c r="H49" s="3">
        <v>0</v>
      </c>
      <c r="I49" s="3">
        <v>0</v>
      </c>
      <c r="J49" s="3">
        <v>0</v>
      </c>
      <c r="K49" s="3">
        <v>3.72</v>
      </c>
      <c r="L49" s="3">
        <f t="shared" si="0"/>
        <v>118</v>
      </c>
      <c r="M49" s="3">
        <f t="shared" si="1"/>
        <v>118</v>
      </c>
      <c r="N49" s="11">
        <f>VLOOKUP(D49,Rates!$A$2:$B$4,2,FALSE)</f>
        <v>1</v>
      </c>
      <c r="O49" s="3">
        <f t="shared" si="2"/>
        <v>118</v>
      </c>
      <c r="P49" s="3">
        <f>IFERROR((VLOOKUP(E49,Products!$A$2:$D$7,3,FALSE)+VLOOKUP(E49,Products!$A$2:$D$7,4,FALSE))*F49,"")</f>
        <v>43.2</v>
      </c>
      <c r="Q49" s="3">
        <f t="shared" si="3"/>
        <v>3.72</v>
      </c>
      <c r="R49" s="3">
        <f t="shared" si="4"/>
        <v>74.8</v>
      </c>
      <c r="S49" s="3" t="str">
        <f>IF(COUNTIF($A$2:A49,A49)&gt;1,"Duplicate order ID",IF(D49&lt;&gt;IF(C49="US","USD",IF(C49="CA","CAD","GBP")),"Currency does not match market",IF(F49&lt;=0,"Quantity is 0 or less",IF(ISNA(MATCH(E49,Products!$A$2:$A$7,0)),"SKU not in product list",IF(I49&gt;L49-H49,"Refund bigger than the sale","")))))</f>
        <v/>
      </c>
    </row>
    <row r="50" spans="1:19">
      <c r="A50" s="9" t="s">
        <v>109</v>
      </c>
      <c r="B50" s="10">
        <v>46295</v>
      </c>
      <c r="C50" s="9" t="s">
        <v>59</v>
      </c>
      <c r="D50" s="9" t="s">
        <v>19</v>
      </c>
      <c r="E50" s="9" t="s">
        <v>32</v>
      </c>
      <c r="F50" s="9">
        <v>2</v>
      </c>
      <c r="G50" s="3">
        <v>34</v>
      </c>
      <c r="H50" s="3">
        <v>0</v>
      </c>
      <c r="I50" s="3">
        <v>0</v>
      </c>
      <c r="J50" s="3">
        <v>0</v>
      </c>
      <c r="K50" s="3">
        <v>2.27</v>
      </c>
      <c r="L50" s="3">
        <f t="shared" si="0"/>
        <v>68</v>
      </c>
      <c r="M50" s="3">
        <f t="shared" si="1"/>
        <v>68</v>
      </c>
      <c r="N50" s="11">
        <f>VLOOKUP(D50,Rates!$A$2:$B$4,2,FALSE)</f>
        <v>1</v>
      </c>
      <c r="O50" s="3">
        <f t="shared" si="2"/>
        <v>68</v>
      </c>
      <c r="P50" s="3">
        <f>IFERROR((VLOOKUP(E50,Products!$A$2:$D$7,3,FALSE)+VLOOKUP(E50,Products!$A$2:$D$7,4,FALSE))*F50,"")</f>
        <v>25.8</v>
      </c>
      <c r="Q50" s="3">
        <f t="shared" si="3"/>
        <v>2.27</v>
      </c>
      <c r="R50" s="3">
        <f t="shared" si="4"/>
        <v>42.2</v>
      </c>
      <c r="S50" s="3" t="str">
        <f>IF(COUNTIF($A$2:A50,A50)&gt;1,"Duplicate order ID",IF(D50&lt;&gt;IF(C50="US","USD",IF(C50="CA","CAD","GBP")),"Currency does not match market",IF(F50&lt;=0,"Quantity is 0 or less",IF(ISNA(MATCH(E50,Products!$A$2:$A$7,0)),"SKU not in product list",IF(I50&gt;L50-H50,"Refund bigger than the sale","")))))</f>
        <v/>
      </c>
    </row>
  </sheetData>
  <sheetProtection algorithmName="SHA-512" hashValue="k7Ppz+w7Nu07jcLBVbOH9PKM7DCHnNM4oASNctLBIptRmEqeBMvyjc3C0nc9wJOK5W0Bxv5QX23IhTCx0ll4UQ==" saltValue="5wQwYYf1w6qf7r7xv7FgLA==" spinCount="100000" sheet="1" objects="1"/>
  <conditionalFormatting sqref="A2:S50">
    <cfRule type="expression" dxfId="0" priority="1">
      <formula>$S2&lt;&gt;""</formula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A1" sqref="A1"/>
    </sheetView>
  </sheetViews>
  <sheetFormatPr defaultColWidth="9" defaultRowHeight="15" outlineLevelCol="6"/>
  <cols>
    <col min="1" max="1" width="9" customWidth="1"/>
    <col min="2" max="2" width="8" customWidth="1"/>
    <col min="3" max="3" width="10" customWidth="1"/>
    <col min="4" max="4" width="9" customWidth="1"/>
    <col min="5" max="5" width="13" customWidth="1"/>
    <col min="6" max="6" width="11" customWidth="1"/>
    <col min="7" max="7" width="12" customWidth="1"/>
  </cols>
  <sheetData>
    <row r="1" ht="32" customHeight="1" spans="1:7">
      <c r="A1" s="1" t="s">
        <v>110</v>
      </c>
      <c r="B1" s="1" t="s">
        <v>44</v>
      </c>
      <c r="C1" s="1" t="s">
        <v>111</v>
      </c>
      <c r="D1" s="1" t="s">
        <v>16</v>
      </c>
      <c r="E1" s="1" t="s">
        <v>112</v>
      </c>
      <c r="F1" s="8" t="s">
        <v>17</v>
      </c>
      <c r="G1" s="8" t="s">
        <v>113</v>
      </c>
    </row>
    <row r="2" spans="1:7">
      <c r="A2" s="9" t="s">
        <v>114</v>
      </c>
      <c r="B2" s="9" t="s">
        <v>59</v>
      </c>
      <c r="C2" s="9" t="s">
        <v>115</v>
      </c>
      <c r="D2" s="9" t="s">
        <v>19</v>
      </c>
      <c r="E2" s="3">
        <v>48.74</v>
      </c>
      <c r="F2" s="3">
        <f>VLOOKUP(D2,Rates!$A$2:$B$4,2,FALSE)</f>
        <v>1</v>
      </c>
      <c r="G2" s="3">
        <f t="shared" ref="G2:G25" si="0">E2*F2</f>
        <v>48.74</v>
      </c>
    </row>
    <row r="3" spans="1:7">
      <c r="A3" s="9" t="s">
        <v>114</v>
      </c>
      <c r="B3" s="9" t="s">
        <v>59</v>
      </c>
      <c r="C3" s="9" t="s">
        <v>116</v>
      </c>
      <c r="D3" s="9" t="s">
        <v>19</v>
      </c>
      <c r="E3" s="3">
        <v>22.13</v>
      </c>
      <c r="F3" s="3">
        <f>VLOOKUP(D3,Rates!$A$2:$B$4,2,FALSE)</f>
        <v>1</v>
      </c>
      <c r="G3" s="3">
        <f t="shared" si="0"/>
        <v>22.13</v>
      </c>
    </row>
    <row r="4" spans="1:7">
      <c r="A4" s="9" t="s">
        <v>114</v>
      </c>
      <c r="B4" s="9" t="s">
        <v>63</v>
      </c>
      <c r="C4" s="9" t="s">
        <v>115</v>
      </c>
      <c r="D4" s="9" t="s">
        <v>21</v>
      </c>
      <c r="E4" s="3">
        <v>31.87</v>
      </c>
      <c r="F4" s="3">
        <f>VLOOKUP(D4,Rates!$A$2:$B$4,2,FALSE)</f>
        <v>0.73</v>
      </c>
      <c r="G4" s="3">
        <f t="shared" si="0"/>
        <v>23.2651</v>
      </c>
    </row>
    <row r="5" spans="1:7">
      <c r="A5" s="9" t="s">
        <v>114</v>
      </c>
      <c r="B5" s="9" t="s">
        <v>63</v>
      </c>
      <c r="C5" s="9" t="s">
        <v>116</v>
      </c>
      <c r="D5" s="9" t="s">
        <v>21</v>
      </c>
      <c r="E5" s="3">
        <v>15.27</v>
      </c>
      <c r="F5" s="3">
        <f>VLOOKUP(D5,Rates!$A$2:$B$4,2,FALSE)</f>
        <v>0.73</v>
      </c>
      <c r="G5" s="3">
        <f t="shared" si="0"/>
        <v>11.1471</v>
      </c>
    </row>
    <row r="6" spans="1:7">
      <c r="A6" s="9" t="s">
        <v>114</v>
      </c>
      <c r="B6" s="9" t="s">
        <v>61</v>
      </c>
      <c r="C6" s="9" t="s">
        <v>115</v>
      </c>
      <c r="D6" s="9" t="s">
        <v>22</v>
      </c>
      <c r="E6" s="3">
        <v>47.45</v>
      </c>
      <c r="F6" s="3">
        <f>VLOOKUP(D6,Rates!$A$2:$B$4,2,FALSE)</f>
        <v>1.34</v>
      </c>
      <c r="G6" s="3">
        <f t="shared" si="0"/>
        <v>63.583</v>
      </c>
    </row>
    <row r="7" spans="1:7">
      <c r="A7" s="9" t="s">
        <v>114</v>
      </c>
      <c r="B7" s="9" t="s">
        <v>61</v>
      </c>
      <c r="C7" s="9" t="s">
        <v>116</v>
      </c>
      <c r="D7" s="9" t="s">
        <v>22</v>
      </c>
      <c r="E7" s="3">
        <v>34.56</v>
      </c>
      <c r="F7" s="3">
        <f>VLOOKUP(D7,Rates!$A$2:$B$4,2,FALSE)</f>
        <v>1.34</v>
      </c>
      <c r="G7" s="3">
        <f t="shared" si="0"/>
        <v>46.3104</v>
      </c>
    </row>
    <row r="8" spans="1:7">
      <c r="A8" s="9" t="s">
        <v>117</v>
      </c>
      <c r="B8" s="9" t="s">
        <v>59</v>
      </c>
      <c r="C8" s="9" t="s">
        <v>115</v>
      </c>
      <c r="D8" s="9" t="s">
        <v>19</v>
      </c>
      <c r="E8" s="3">
        <v>65.29</v>
      </c>
      <c r="F8" s="3">
        <f>VLOOKUP(D8,Rates!$A$2:$B$4,2,FALSE)</f>
        <v>1</v>
      </c>
      <c r="G8" s="3">
        <f t="shared" si="0"/>
        <v>65.29</v>
      </c>
    </row>
    <row r="9" spans="1:7">
      <c r="A9" s="9" t="s">
        <v>117</v>
      </c>
      <c r="B9" s="9" t="s">
        <v>59</v>
      </c>
      <c r="C9" s="9" t="s">
        <v>116</v>
      </c>
      <c r="D9" s="9" t="s">
        <v>19</v>
      </c>
      <c r="E9" s="3">
        <v>26.13</v>
      </c>
      <c r="F9" s="3">
        <f>VLOOKUP(D9,Rates!$A$2:$B$4,2,FALSE)</f>
        <v>1</v>
      </c>
      <c r="G9" s="3">
        <f t="shared" si="0"/>
        <v>26.13</v>
      </c>
    </row>
    <row r="10" spans="1:7">
      <c r="A10" s="9" t="s">
        <v>117</v>
      </c>
      <c r="B10" s="9" t="s">
        <v>63</v>
      </c>
      <c r="C10" s="9" t="s">
        <v>115</v>
      </c>
      <c r="D10" s="9" t="s">
        <v>21</v>
      </c>
      <c r="E10" s="3">
        <v>26.4</v>
      </c>
      <c r="F10" s="3">
        <f>VLOOKUP(D10,Rates!$A$2:$B$4,2,FALSE)</f>
        <v>0.73</v>
      </c>
      <c r="G10" s="3">
        <f t="shared" si="0"/>
        <v>19.272</v>
      </c>
    </row>
    <row r="11" spans="1:7">
      <c r="A11" s="9" t="s">
        <v>117</v>
      </c>
      <c r="B11" s="9" t="s">
        <v>63</v>
      </c>
      <c r="C11" s="9" t="s">
        <v>116</v>
      </c>
      <c r="D11" s="9" t="s">
        <v>21</v>
      </c>
      <c r="E11" s="3">
        <v>15.81</v>
      </c>
      <c r="F11" s="3">
        <f>VLOOKUP(D11,Rates!$A$2:$B$4,2,FALSE)</f>
        <v>0.73</v>
      </c>
      <c r="G11" s="3">
        <f t="shared" si="0"/>
        <v>11.5413</v>
      </c>
    </row>
    <row r="12" spans="1:7">
      <c r="A12" s="9" t="s">
        <v>117</v>
      </c>
      <c r="B12" s="9" t="s">
        <v>61</v>
      </c>
      <c r="C12" s="9" t="s">
        <v>115</v>
      </c>
      <c r="D12" s="9" t="s">
        <v>22</v>
      </c>
      <c r="E12" s="3">
        <v>48.35</v>
      </c>
      <c r="F12" s="3">
        <f>VLOOKUP(D12,Rates!$A$2:$B$4,2,FALSE)</f>
        <v>1.34</v>
      </c>
      <c r="G12" s="3">
        <f t="shared" si="0"/>
        <v>64.789</v>
      </c>
    </row>
    <row r="13" spans="1:7">
      <c r="A13" s="9" t="s">
        <v>117</v>
      </c>
      <c r="B13" s="9" t="s">
        <v>61</v>
      </c>
      <c r="C13" s="9" t="s">
        <v>116</v>
      </c>
      <c r="D13" s="9" t="s">
        <v>22</v>
      </c>
      <c r="E13" s="3">
        <v>29.06</v>
      </c>
      <c r="F13" s="3">
        <f>VLOOKUP(D13,Rates!$A$2:$B$4,2,FALSE)</f>
        <v>1.34</v>
      </c>
      <c r="G13" s="3">
        <f t="shared" si="0"/>
        <v>38.9404</v>
      </c>
    </row>
    <row r="14" spans="1:7">
      <c r="A14" s="9" t="s">
        <v>118</v>
      </c>
      <c r="B14" s="9" t="s">
        <v>59</v>
      </c>
      <c r="C14" s="9" t="s">
        <v>115</v>
      </c>
      <c r="D14" s="9" t="s">
        <v>19</v>
      </c>
      <c r="E14" s="3">
        <v>49.49</v>
      </c>
      <c r="F14" s="3">
        <f>VLOOKUP(D14,Rates!$A$2:$B$4,2,FALSE)</f>
        <v>1</v>
      </c>
      <c r="G14" s="3">
        <f t="shared" si="0"/>
        <v>49.49</v>
      </c>
    </row>
    <row r="15" spans="1:7">
      <c r="A15" s="9" t="s">
        <v>118</v>
      </c>
      <c r="B15" s="9" t="s">
        <v>59</v>
      </c>
      <c r="C15" s="9" t="s">
        <v>116</v>
      </c>
      <c r="D15" s="9" t="s">
        <v>19</v>
      </c>
      <c r="E15" s="3">
        <v>22.2</v>
      </c>
      <c r="F15" s="3">
        <f>VLOOKUP(D15,Rates!$A$2:$B$4,2,FALSE)</f>
        <v>1</v>
      </c>
      <c r="G15" s="3">
        <f t="shared" si="0"/>
        <v>22.2</v>
      </c>
    </row>
    <row r="16" spans="1:7">
      <c r="A16" s="9" t="s">
        <v>118</v>
      </c>
      <c r="B16" s="9" t="s">
        <v>63</v>
      </c>
      <c r="C16" s="9" t="s">
        <v>115</v>
      </c>
      <c r="D16" s="9" t="s">
        <v>21</v>
      </c>
      <c r="E16" s="3">
        <v>34.89</v>
      </c>
      <c r="F16" s="3">
        <f>VLOOKUP(D16,Rates!$A$2:$B$4,2,FALSE)</f>
        <v>0.73</v>
      </c>
      <c r="G16" s="3">
        <f t="shared" si="0"/>
        <v>25.4697</v>
      </c>
    </row>
    <row r="17" spans="1:7">
      <c r="A17" s="9" t="s">
        <v>118</v>
      </c>
      <c r="B17" s="9" t="s">
        <v>63</v>
      </c>
      <c r="C17" s="9" t="s">
        <v>116</v>
      </c>
      <c r="D17" s="9" t="s">
        <v>21</v>
      </c>
      <c r="E17" s="3">
        <v>15.68</v>
      </c>
      <c r="F17" s="3">
        <f>VLOOKUP(D17,Rates!$A$2:$B$4,2,FALSE)</f>
        <v>0.73</v>
      </c>
      <c r="G17" s="3">
        <f t="shared" si="0"/>
        <v>11.4464</v>
      </c>
    </row>
    <row r="18" spans="1:7">
      <c r="A18" s="9" t="s">
        <v>118</v>
      </c>
      <c r="B18" s="9" t="s">
        <v>61</v>
      </c>
      <c r="C18" s="9" t="s">
        <v>115</v>
      </c>
      <c r="D18" s="9" t="s">
        <v>22</v>
      </c>
      <c r="E18" s="3">
        <v>49.52</v>
      </c>
      <c r="F18" s="3">
        <f>VLOOKUP(D18,Rates!$A$2:$B$4,2,FALSE)</f>
        <v>1.34</v>
      </c>
      <c r="G18" s="3">
        <f t="shared" si="0"/>
        <v>66.3568</v>
      </c>
    </row>
    <row r="19" spans="1:7">
      <c r="A19" s="9" t="s">
        <v>118</v>
      </c>
      <c r="B19" s="9" t="s">
        <v>61</v>
      </c>
      <c r="C19" s="9" t="s">
        <v>116</v>
      </c>
      <c r="D19" s="9" t="s">
        <v>22</v>
      </c>
      <c r="E19" s="3">
        <v>35.9</v>
      </c>
      <c r="F19" s="3">
        <f>VLOOKUP(D19,Rates!$A$2:$B$4,2,FALSE)</f>
        <v>1.34</v>
      </c>
      <c r="G19" s="3">
        <f t="shared" si="0"/>
        <v>48.106</v>
      </c>
    </row>
    <row r="20" spans="1:7">
      <c r="A20" s="9" t="s">
        <v>119</v>
      </c>
      <c r="B20" s="9" t="s">
        <v>59</v>
      </c>
      <c r="C20" s="9" t="s">
        <v>115</v>
      </c>
      <c r="D20" s="9" t="s">
        <v>19</v>
      </c>
      <c r="E20" s="3">
        <v>61.07</v>
      </c>
      <c r="F20" s="3">
        <f>VLOOKUP(D20,Rates!$A$2:$B$4,2,FALSE)</f>
        <v>1</v>
      </c>
      <c r="G20" s="3">
        <f t="shared" si="0"/>
        <v>61.07</v>
      </c>
    </row>
    <row r="21" spans="1:7">
      <c r="A21" s="9" t="s">
        <v>119</v>
      </c>
      <c r="B21" s="9" t="s">
        <v>59</v>
      </c>
      <c r="C21" s="9" t="s">
        <v>116</v>
      </c>
      <c r="D21" s="9" t="s">
        <v>19</v>
      </c>
      <c r="E21" s="3">
        <v>28.31</v>
      </c>
      <c r="F21" s="3">
        <f>VLOOKUP(D21,Rates!$A$2:$B$4,2,FALSE)</f>
        <v>1</v>
      </c>
      <c r="G21" s="3">
        <f t="shared" si="0"/>
        <v>28.31</v>
      </c>
    </row>
    <row r="22" spans="1:7">
      <c r="A22" s="9" t="s">
        <v>119</v>
      </c>
      <c r="B22" s="9" t="s">
        <v>63</v>
      </c>
      <c r="C22" s="9" t="s">
        <v>115</v>
      </c>
      <c r="D22" s="9" t="s">
        <v>21</v>
      </c>
      <c r="E22" s="3">
        <v>29.12</v>
      </c>
      <c r="F22" s="3">
        <f>VLOOKUP(D22,Rates!$A$2:$B$4,2,FALSE)</f>
        <v>0.73</v>
      </c>
      <c r="G22" s="3">
        <f t="shared" si="0"/>
        <v>21.2576</v>
      </c>
    </row>
    <row r="23" spans="1:7">
      <c r="A23" s="9" t="s">
        <v>119</v>
      </c>
      <c r="B23" s="9" t="s">
        <v>63</v>
      </c>
      <c r="C23" s="9" t="s">
        <v>116</v>
      </c>
      <c r="D23" s="9" t="s">
        <v>21</v>
      </c>
      <c r="E23" s="3">
        <v>13.15</v>
      </c>
      <c r="F23" s="3">
        <f>VLOOKUP(D23,Rates!$A$2:$B$4,2,FALSE)</f>
        <v>0.73</v>
      </c>
      <c r="G23" s="3">
        <f t="shared" si="0"/>
        <v>9.5995</v>
      </c>
    </row>
    <row r="24" spans="1:7">
      <c r="A24" s="9" t="s">
        <v>119</v>
      </c>
      <c r="B24" s="9" t="s">
        <v>61</v>
      </c>
      <c r="C24" s="9" t="s">
        <v>115</v>
      </c>
      <c r="D24" s="9" t="s">
        <v>22</v>
      </c>
      <c r="E24" s="3">
        <v>43.12</v>
      </c>
      <c r="F24" s="3">
        <f>VLOOKUP(D24,Rates!$A$2:$B$4,2,FALSE)</f>
        <v>1.34</v>
      </c>
      <c r="G24" s="3">
        <f t="shared" si="0"/>
        <v>57.7808</v>
      </c>
    </row>
    <row r="25" spans="1:7">
      <c r="A25" s="9" t="s">
        <v>119</v>
      </c>
      <c r="B25" s="9" t="s">
        <v>61</v>
      </c>
      <c r="C25" s="9" t="s">
        <v>116</v>
      </c>
      <c r="D25" s="9" t="s">
        <v>22</v>
      </c>
      <c r="E25" s="3">
        <v>32.63</v>
      </c>
      <c r="F25" s="3">
        <f>VLOOKUP(D25,Rates!$A$2:$B$4,2,FALSE)</f>
        <v>1.34</v>
      </c>
      <c r="G25" s="3">
        <f t="shared" si="0"/>
        <v>43.7242</v>
      </c>
    </row>
  </sheetData>
  <sheetProtection algorithmName="SHA-512" hashValue="BGN8XGhjm3PoGAByDdfbBUWbN8HZTYqR4z8Kcz1x4aJPLawdluBnrWgtvSNXZ7BOTrfpxMRU0Q5pSAHQ50DfSw==" saltValue="XSZBIdu9///oEUyyld1W4w==" spinCount="100000" sheet="1" object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workbookViewId="0">
      <selection activeCell="A1" sqref="A1"/>
    </sheetView>
  </sheetViews>
  <sheetFormatPr defaultColWidth="9" defaultRowHeight="15" outlineLevelCol="4"/>
  <cols>
    <col min="1" max="1" width="24" customWidth="1"/>
    <col min="2" max="5" width="13" customWidth="1"/>
  </cols>
  <sheetData>
    <row r="1" ht="32" customHeight="1" spans="1:5">
      <c r="A1" s="1" t="s">
        <v>120</v>
      </c>
      <c r="B1" s="1" t="s">
        <v>59</v>
      </c>
      <c r="C1" s="1" t="s">
        <v>63</v>
      </c>
      <c r="D1" s="1" t="s">
        <v>61</v>
      </c>
      <c r="E1" s="1" t="s">
        <v>121</v>
      </c>
    </row>
    <row r="2" spans="1:5">
      <c r="A2" s="2" t="s">
        <v>122</v>
      </c>
      <c r="B2" s="3">
        <f>SUMPRODUCT((Orders!$C$2:$C$50=B$1)*(Orders!$S$2:$S$50="")*Orders!$L$2:$L$50*Orders!$N$2:$N$50)</f>
        <v>1617</v>
      </c>
      <c r="C2" s="3">
        <f>SUMPRODUCT((Orders!$C$2:$C$50=C$1)*(Orders!$S$2:$S$50="")*Orders!$L$2:$L$50*Orders!$N$2:$N$50)</f>
        <v>593.49</v>
      </c>
      <c r="D2" s="3">
        <f>SUMPRODUCT((Orders!$C$2:$C$50=D$1)*(Orders!$S$2:$S$50="")*Orders!$L$2:$L$50*Orders!$N$2:$N$50)</f>
        <v>426.12</v>
      </c>
      <c r="E2" s="3">
        <f>SUM(B2:D2)</f>
        <v>2636.61</v>
      </c>
    </row>
    <row r="3" spans="1:5">
      <c r="A3" s="2" t="s">
        <v>123</v>
      </c>
      <c r="B3" s="3">
        <f>SUMPRODUCT((Orders!$C$2:$C$50=B$1)*(Orders!$S$2:$S$50="")*Orders!$H$2:$H$50*Orders!$N$2:$N$50)</f>
        <v>17.4</v>
      </c>
      <c r="C3" s="3">
        <f>SUMPRODUCT((Orders!$C$2:$C$50=C$1)*(Orders!$S$2:$S$50="")*Orders!$H$2:$H$50*Orders!$N$2:$N$50)</f>
        <v>5.767</v>
      </c>
      <c r="D3" s="3">
        <f>SUMPRODUCT((Orders!$C$2:$C$50=D$1)*(Orders!$S$2:$S$50="")*Orders!$H$2:$H$50*Orders!$N$2:$N$50)</f>
        <v>9.648</v>
      </c>
      <c r="E3" s="3">
        <f>SUM(B3:D3)</f>
        <v>32.815</v>
      </c>
    </row>
    <row r="4" spans="1:5">
      <c r="A4" s="2" t="s">
        <v>124</v>
      </c>
      <c r="B4" s="3">
        <f>SUMPRODUCT((Orders!$C$2:$C$50=B$1)*(Orders!$S$2:$S$50="")*Orders!$I$2:$I$50*Orders!$N$2:$N$50)</f>
        <v>208</v>
      </c>
      <c r="C4" s="3">
        <f>SUMPRODUCT((Orders!$C$2:$C$50=C$1)*(Orders!$S$2:$S$50="")*Orders!$I$2:$I$50*Orders!$N$2:$N$50)</f>
        <v>21.17</v>
      </c>
      <c r="D4" s="3">
        <f>SUMPRODUCT((Orders!$C$2:$C$50=D$1)*(Orders!$S$2:$S$50="")*Orders!$I$2:$I$50*Orders!$N$2:$N$50)</f>
        <v>22.11</v>
      </c>
      <c r="E4" s="3">
        <f>SUM(B4:D4)</f>
        <v>251.28</v>
      </c>
    </row>
    <row r="5" spans="1:5">
      <c r="A5" s="2" t="s">
        <v>125</v>
      </c>
      <c r="B5" s="3">
        <f>SUMPRODUCT((Orders!$C$2:$C$50=B$1)*(Orders!$S$2:$S$50="")*Orders!$J$2:$J$50*Orders!$N$2:$N$50)</f>
        <v>78.1</v>
      </c>
      <c r="C5" s="3">
        <f>SUMPRODUCT((Orders!$C$2:$C$50=C$1)*(Orders!$S$2:$S$50="")*Orders!$J$2:$J$50*Orders!$N$2:$N$50)</f>
        <v>0</v>
      </c>
      <c r="D5" s="3">
        <f>SUMPRODUCT((Orders!$C$2:$C$50=D$1)*(Orders!$S$2:$S$50="")*Orders!$J$2:$J$50*Orders!$N$2:$N$50)</f>
        <v>0</v>
      </c>
      <c r="E5" s="3">
        <f>SUM(B5:D5)</f>
        <v>78.1</v>
      </c>
    </row>
    <row r="6" spans="1:5">
      <c r="A6" s="4" t="s">
        <v>126</v>
      </c>
      <c r="B6" s="3">
        <f>B2-B3-B4-B5</f>
        <v>1313.5</v>
      </c>
      <c r="C6" s="3">
        <f>C2-C3-C4-C5</f>
        <v>566.553</v>
      </c>
      <c r="D6" s="3">
        <f>D2-D3-D4-D5</f>
        <v>394.362</v>
      </c>
      <c r="E6" s="3">
        <f>E2-E3-E4-E5</f>
        <v>2274.415</v>
      </c>
    </row>
    <row r="7" spans="1:5">
      <c r="A7" s="2" t="s">
        <v>127</v>
      </c>
      <c r="B7" s="3">
        <f>SUMIFS(Orders!$P$2:$P$50,Orders!$C$2:$C$50,B$1,Orders!$S$2:$S$50,"")</f>
        <v>600.9</v>
      </c>
      <c r="C7" s="3">
        <f>SUMIFS(Orders!$P$2:$P$50,Orders!$C$2:$C$50,C$1,Orders!$S$2:$S$50,"")</f>
        <v>228.1</v>
      </c>
      <c r="D7" s="3">
        <f>SUMIFS(Orders!$P$2:$P$50,Orders!$C$2:$C$50,D$1,Orders!$S$2:$S$50,"")</f>
        <v>147.5</v>
      </c>
      <c r="E7" s="3">
        <f>SUM(B7:D7)</f>
        <v>976.5</v>
      </c>
    </row>
    <row r="8" spans="1:5">
      <c r="A8" s="4" t="s">
        <v>128</v>
      </c>
      <c r="B8" s="3">
        <f>B6-B7</f>
        <v>712.6</v>
      </c>
      <c r="C8" s="3">
        <f>C6-C7</f>
        <v>338.453</v>
      </c>
      <c r="D8" s="3">
        <f>D6-D7</f>
        <v>246.862</v>
      </c>
      <c r="E8" s="3">
        <f>E6-E7</f>
        <v>1297.915</v>
      </c>
    </row>
    <row r="9" spans="1:5">
      <c r="A9" s="2" t="s">
        <v>129</v>
      </c>
      <c r="B9" s="3">
        <f>SUMIFS(Orders!$Q$2:$Q$50,Orders!$C$2:$C$50,B$1,Orders!$S$2:$S$50,"")</f>
        <v>54.22</v>
      </c>
      <c r="C9" s="3">
        <f>SUMIFS(Orders!$Q$2:$Q$50,Orders!$C$2:$C$50,C$1,Orders!$S$2:$S$50,"")</f>
        <v>19.2428</v>
      </c>
      <c r="D9" s="3">
        <f>SUMIFS(Orders!$Q$2:$Q$50,Orders!$C$2:$C$50,D$1,Orders!$S$2:$S$50,"")</f>
        <v>15.2894</v>
      </c>
      <c r="E9" s="3">
        <f>SUM(B9:D9)</f>
        <v>88.7522</v>
      </c>
    </row>
    <row r="10" spans="1:5">
      <c r="A10" s="2" t="s">
        <v>130</v>
      </c>
      <c r="B10" s="3">
        <f>SUMIFS(Ads!$G$2:$G$25,Ads!$B$2:$B$25,B$1)</f>
        <v>323.36</v>
      </c>
      <c r="C10" s="3">
        <f>SUMIFS(Ads!$G$2:$G$25,Ads!$B$2:$B$25,C$1)</f>
        <v>132.9987</v>
      </c>
      <c r="D10" s="3">
        <f>SUMIFS(Ads!$G$2:$G$25,Ads!$B$2:$B$25,D$1)</f>
        <v>429.5906</v>
      </c>
      <c r="E10" s="3">
        <f>SUM(B10:D10)</f>
        <v>885.9493</v>
      </c>
    </row>
    <row r="11" spans="1:5">
      <c r="A11" s="4" t="s">
        <v>131</v>
      </c>
      <c r="B11" s="3">
        <f>B8-B9-B10</f>
        <v>335.02</v>
      </c>
      <c r="C11" s="3">
        <f>C8-C9-C10</f>
        <v>186.2115</v>
      </c>
      <c r="D11" s="3">
        <f>D8-D9-D10</f>
        <v>-198.018</v>
      </c>
      <c r="E11" s="3">
        <f>E8-E9-E10</f>
        <v>323.2135</v>
      </c>
    </row>
    <row r="12" spans="1:5">
      <c r="A12" s="2" t="s">
        <v>132</v>
      </c>
      <c r="B12" s="5">
        <f>IF(B6=0,0,B11/B6)</f>
        <v>0.255059002664636</v>
      </c>
      <c r="C12" s="5">
        <f>IF(C6=0,0,C11/C6)</f>
        <v>0.328674457641209</v>
      </c>
      <c r="D12" s="5">
        <f>IF(D6=0,0,D11/D6)</f>
        <v>-0.502122415445707</v>
      </c>
      <c r="E12" s="5">
        <f>IF(E6=0,0,E11/E6)</f>
        <v>0.142108410294515</v>
      </c>
    </row>
    <row r="13" spans="1:5">
      <c r="A13" s="2" t="s">
        <v>133</v>
      </c>
      <c r="B13" s="6">
        <f>IF(B10=0,0,B6/B10)</f>
        <v>4.06203612073231</v>
      </c>
      <c r="C13" s="6">
        <f>IF(C10=0,0,C6/C10)</f>
        <v>4.25983863000165</v>
      </c>
      <c r="D13" s="6">
        <f>IF(D10=0,0,D6/D10)</f>
        <v>0.917994946816806</v>
      </c>
      <c r="E13" s="6">
        <f>IF(E10=0,0,E6/E10)</f>
        <v>2.56720672390621</v>
      </c>
    </row>
    <row r="14" spans="1:5">
      <c r="A14" s="2" t="s">
        <v>134</v>
      </c>
      <c r="B14" s="6">
        <f>IF(B10=0,0,B8/B10)</f>
        <v>2.20373577436912</v>
      </c>
      <c r="C14" s="6">
        <f>IF(C10=0,0,C8/C10)</f>
        <v>2.54478427232747</v>
      </c>
      <c r="D14" s="6">
        <f>IF(D10=0,0,D8/D10)</f>
        <v>0.574644789713741</v>
      </c>
      <c r="E14" s="6">
        <f>IF(E10=0,0,E8/E10)</f>
        <v>1.46499918223311</v>
      </c>
    </row>
    <row r="15" spans="1:5">
      <c r="A15" s="2" t="s">
        <v>135</v>
      </c>
      <c r="B15" s="3">
        <f>SUMPRODUCT((Orders!$C$2:$C$50=B$1)*(Orders!$S$2:$S$50&lt;&gt;""))</f>
        <v>1</v>
      </c>
      <c r="C15" s="3">
        <f>SUMPRODUCT((Orders!$C$2:$C$50=C$1)*(Orders!$S$2:$S$50&lt;&gt;""))</f>
        <v>1</v>
      </c>
      <c r="D15" s="3">
        <f>SUMPRODUCT((Orders!$C$2:$C$50=D$1)*(Orders!$S$2:$S$50&lt;&gt;""))</f>
        <v>3</v>
      </c>
      <c r="E15" s="3">
        <f>SUM(B15:D15)</f>
        <v>5</v>
      </c>
    </row>
    <row r="17" spans="1:1">
      <c r="A17" s="7" t="s">
        <v>136</v>
      </c>
    </row>
  </sheetData>
  <sheetProtection algorithmName="SHA-512" hashValue="vXCJPiPfq9sOZ4e5mjtWJ21ve7dc7u8UcjEoJ2hDdqZwnTrNL947AnUg1E/49F1PfpQ5MjN/uhsoPc8T+K3vDw==" saltValue="Z2wQx7nSmgQFPTII0GWCdg==" spinCount="100000" sheet="1" object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How it works</vt:lpstr>
      <vt:lpstr>Rates</vt:lpstr>
      <vt:lpstr>Products</vt:lpstr>
      <vt:lpstr>Orders</vt:lpstr>
      <vt:lpstr>Ads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2026-10-01T11:34:00Z</dcterms:created>
  <dcterms:modified xsi:type="dcterms:W3CDTF">2026-10-01T12:45:30Z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F6501316057B4C26B6E600FCD479F01E_12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