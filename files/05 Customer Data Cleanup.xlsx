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/>
  </bookViews>
  <sheets>
    <sheet name="Before (raw)" sheetId="1" r:id="rId1"/>
    <sheet name="After (clean)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<sst xmlns="http://schemas.openxmlformats.org/spreadsheetml/2006/main" count="78" uniqueCount="74">
  <si>
    <t>Customer List - BEFORE cleanup</t>
  </si>
  <si>
    <t>Exported from an online store: extra spaces, mixed capitals, phone numbers in 8 different styles, duplicates  |  Sample data</t>
  </si>
  <si>
    <t>Name</t>
  </si>
  <si>
    <t>Email</t>
  </si>
  <si>
    <t>Phone</t>
  </si>
  <si>
    <t>City</t>
  </si>
  <si>
    <t xml:space="preserve">  maria SANTOS </t>
  </si>
  <si>
    <t xml:space="preserve"> Maria.Santos@Gmail.com </t>
  </si>
  <si>
    <t>0917 123 4567</t>
  </si>
  <si>
    <t>amadeo, cavite</t>
  </si>
  <si>
    <t>JUAN dela cruz</t>
  </si>
  <si>
    <t>juan.delacruz@yahoo.com</t>
  </si>
  <si>
    <t>+63 918-234-5678</t>
  </si>
  <si>
    <t>DASMARINAS CITY</t>
  </si>
  <si>
    <t>ana   reyes</t>
  </si>
  <si>
    <t>ANA.REYES@OUTLOOK.COM</t>
  </si>
  <si>
    <t>9193456789</t>
  </si>
  <si>
    <t xml:space="preserve"> imus</t>
  </si>
  <si>
    <t xml:space="preserve">Mark Villanueva </t>
  </si>
  <si>
    <t xml:space="preserve">mark.v@gmail.com </t>
  </si>
  <si>
    <t>(0920) 456 7890</t>
  </si>
  <si>
    <t>Tagaytay</t>
  </si>
  <si>
    <t>lea garcia</t>
  </si>
  <si>
    <t>Lea.Garcia@gmail.com</t>
  </si>
  <si>
    <t>0921.567.8901</t>
  </si>
  <si>
    <t>silang,  cavite</t>
  </si>
  <si>
    <t>Maria Santos</t>
  </si>
  <si>
    <t>maria.santos@gmail.com</t>
  </si>
  <si>
    <t>09171234567</t>
  </si>
  <si>
    <t>Amadeo, Cavite</t>
  </si>
  <si>
    <t>paolo   REYES</t>
  </si>
  <si>
    <t>paolo.r@company.ph</t>
  </si>
  <si>
    <t>63 922 678 9012</t>
  </si>
  <si>
    <t>general trias</t>
  </si>
  <si>
    <t>CARLA MENDOZA</t>
  </si>
  <si>
    <t>carla.mendoza@yahoo.com</t>
  </si>
  <si>
    <t>0923 789 012</t>
  </si>
  <si>
    <t>bacoor</t>
  </si>
  <si>
    <t>rico bautista</t>
  </si>
  <si>
    <t>Rico.Bautista@Gmail.Com</t>
  </si>
  <si>
    <t>0924-890-1234</t>
  </si>
  <si>
    <t>Kawit</t>
  </si>
  <si>
    <t xml:space="preserve">jenny lim </t>
  </si>
  <si>
    <t>jenny.lim@gmail.com</t>
  </si>
  <si>
    <t>+63 925 901 2345</t>
  </si>
  <si>
    <t>trece martires</t>
  </si>
  <si>
    <t>Ana Reyes</t>
  </si>
  <si>
    <t xml:space="preserve">ana.reyes@outlook.com </t>
  </si>
  <si>
    <t>0919 345 6789</t>
  </si>
  <si>
    <t>Imus</t>
  </si>
  <si>
    <t>noel CRUZ</t>
  </si>
  <si>
    <t xml:space="preserve"> noel.cruz@gmail.com</t>
  </si>
  <si>
    <t>0926 012 3456</t>
  </si>
  <si>
    <t>tanza</t>
  </si>
  <si>
    <t>grace  tan</t>
  </si>
  <si>
    <t>GRACE.TAN@YAHOO.COM</t>
  </si>
  <si>
    <t>0927-123-45678</t>
  </si>
  <si>
    <t>rosario</t>
  </si>
  <si>
    <t>ben aquino</t>
  </si>
  <si>
    <t>ben.aquino@gmail.com</t>
  </si>
  <si>
    <t>639281234567</t>
  </si>
  <si>
    <t>naic</t>
  </si>
  <si>
    <t>liza ramos</t>
  </si>
  <si>
    <t>liza.ramos@gmail.com</t>
  </si>
  <si>
    <t>0929 234 5678</t>
  </si>
  <si>
    <t>Carmona</t>
  </si>
  <si>
    <t>Customer List - AFTER cleanup</t>
  </si>
  <si>
    <t>Every column is a formula that reads the raw tab, so new raw rows clean themselves</t>
  </si>
  <si>
    <t>Phone (digits)</t>
  </si>
  <si>
    <t>Duplicate?</t>
  </si>
  <si>
    <t>Phone check</t>
  </si>
  <si>
    <t>Rows cleaned</t>
  </si>
  <si>
    <t>Duplicates found</t>
  </si>
  <si>
    <t>Phone numbers to check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</si>
</sst>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b/>
      <sz val="16"/>
      <color rgb="FF0F766E"/>
      <name val="Arial"/>
      <charset val="134"/>
    </font>
    <font>
      <sz val="11"/>
      <color theme="1"/>
      <name val="Arial"/>
      <charset val="134"/>
    </font>
    <font>
      <i/>
      <sz val="10"/>
      <color rgb="FF595959"/>
      <name val="Arial"/>
      <charset val="134"/>
    </font>
    <font>
      <b/>
      <sz val="10"/>
      <color rgb="FFFFFFFF"/>
      <name val="Arial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D5F0E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49" fontId="2" fillId="0" borderId="1" xfId="0" applyNumberFormat="1" applyFont="1" applyBorder="1"/>
    <xf numFmtId="0" fontId="5" fillId="3" borderId="0" xfId="0" applyFont="1" applyFill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">
    <dxf>
      <font>
        <b val="1"/>
        <color rgb="FF9C0006"/>
      </font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A1" sqref="A1"/>
    </sheetView>
  </sheetViews>
  <sheetFormatPr defaultColWidth="9" defaultRowHeight="15" outlineLevelCol="3"/>
  <cols>
    <col min="1" max="1" width="22" customWidth="1"/>
    <col min="2" max="2" width="30" customWidth="1"/>
    <col min="3" max="4" width="20" customWidth="1"/>
  </cols>
  <sheetData>
    <row r="1" ht="20.25" spans="1:4">
      <c r="A1" s="1" t="s">
        <v>0</v>
      </c>
      <c r="B1" s="2"/>
      <c r="C1" s="2"/>
      <c r="D1" s="2"/>
    </row>
    <row r="2" spans="1:4">
      <c r="A2" s="3" t="s">
        <v>1</v>
      </c>
      <c r="B2" s="2"/>
      <c r="C2" s="2"/>
      <c r="D2" s="2"/>
    </row>
    <row r="3" spans="1:4">
      <c r="A3" s="2"/>
      <c r="B3" s="2"/>
      <c r="C3" s="2"/>
      <c r="D3" s="2"/>
    </row>
    <row r="4" spans="1:4">
      <c r="A4" s="4" t="s">
        <v>2</v>
      </c>
      <c r="B4" s="4" t="s">
        <v>3</v>
      </c>
      <c r="C4" s="4" t="s">
        <v>4</v>
      </c>
      <c r="D4" s="4" t="s">
        <v>5</v>
      </c>
    </row>
    <row r="5" spans="1:4">
      <c r="A5" s="6" t="s">
        <v>6</v>
      </c>
      <c r="B5" s="6" t="s">
        <v>7</v>
      </c>
      <c r="C5" s="6" t="s">
        <v>8</v>
      </c>
      <c r="D5" s="6" t="s">
        <v>9</v>
      </c>
    </row>
    <row r="6" spans="1:4">
      <c r="A6" s="6" t="s">
        <v>10</v>
      </c>
      <c r="B6" s="6" t="s">
        <v>11</v>
      </c>
      <c r="C6" s="6" t="s">
        <v>12</v>
      </c>
      <c r="D6" s="6" t="s">
        <v>13</v>
      </c>
    </row>
    <row r="7" spans="1:4">
      <c r="A7" s="6" t="s">
        <v>14</v>
      </c>
      <c r="B7" s="6" t="s">
        <v>15</v>
      </c>
      <c r="C7" s="6" t="s">
        <v>16</v>
      </c>
      <c r="D7" s="6" t="s">
        <v>17</v>
      </c>
    </row>
    <row r="8" spans="1:4">
      <c r="A8" s="6" t="s">
        <v>18</v>
      </c>
      <c r="B8" s="6" t="s">
        <v>19</v>
      </c>
      <c r="C8" s="6" t="s">
        <v>20</v>
      </c>
      <c r="D8" s="6" t="s">
        <v>21</v>
      </c>
    </row>
    <row r="9" spans="1:4">
      <c r="A9" s="6" t="s">
        <v>22</v>
      </c>
      <c r="B9" s="6" t="s">
        <v>23</v>
      </c>
      <c r="C9" s="6" t="s">
        <v>24</v>
      </c>
      <c r="D9" s="6" t="s">
        <v>25</v>
      </c>
    </row>
    <row r="10" spans="1:4">
      <c r="A10" s="6" t="s">
        <v>26</v>
      </c>
      <c r="B10" s="6" t="s">
        <v>27</v>
      </c>
      <c r="C10" s="6" t="s">
        <v>28</v>
      </c>
      <c r="D10" s="6" t="s">
        <v>29</v>
      </c>
    </row>
    <row r="11" spans="1:4">
      <c r="A11" s="6" t="s">
        <v>30</v>
      </c>
      <c r="B11" s="6" t="s">
        <v>31</v>
      </c>
      <c r="C11" s="6" t="s">
        <v>32</v>
      </c>
      <c r="D11" s="6" t="s">
        <v>33</v>
      </c>
    </row>
    <row r="12" spans="1:4">
      <c r="A12" s="6" t="s">
        <v>34</v>
      </c>
      <c r="B12" s="6" t="s">
        <v>35</v>
      </c>
      <c r="C12" s="6" t="s">
        <v>36</v>
      </c>
      <c r="D12" s="6" t="s">
        <v>37</v>
      </c>
    </row>
    <row r="13" spans="1:4">
      <c r="A13" s="6" t="s">
        <v>38</v>
      </c>
      <c r="B13" s="6" t="s">
        <v>39</v>
      </c>
      <c r="C13" s="6" t="s">
        <v>40</v>
      </c>
      <c r="D13" s="6" t="s">
        <v>41</v>
      </c>
    </row>
    <row r="14" spans="1:4">
      <c r="A14" s="6" t="s">
        <v>42</v>
      </c>
      <c r="B14" s="6" t="s">
        <v>43</v>
      </c>
      <c r="C14" s="6" t="s">
        <v>44</v>
      </c>
      <c r="D14" s="6" t="s">
        <v>45</v>
      </c>
    </row>
    <row r="15" spans="1:4">
      <c r="A15" s="6" t="s">
        <v>46</v>
      </c>
      <c r="B15" s="6" t="s">
        <v>47</v>
      </c>
      <c r="C15" s="6" t="s">
        <v>48</v>
      </c>
      <c r="D15" s="6" t="s">
        <v>49</v>
      </c>
    </row>
    <row r="16" spans="1:4">
      <c r="A16" s="6" t="s">
        <v>50</v>
      </c>
      <c r="B16" s="6" t="s">
        <v>51</v>
      </c>
      <c r="C16" s="6" t="s">
        <v>52</v>
      </c>
      <c r="D16" s="6" t="s">
        <v>53</v>
      </c>
    </row>
    <row r="17" spans="1:4">
      <c r="A17" s="6" t="s">
        <v>54</v>
      </c>
      <c r="B17" s="6" t="s">
        <v>55</v>
      </c>
      <c r="C17" s="6" t="s">
        <v>56</v>
      </c>
      <c r="D17" s="6" t="s">
        <v>57</v>
      </c>
    </row>
    <row r="18" spans="1:4">
      <c r="A18" s="6" t="s">
        <v>58</v>
      </c>
      <c r="B18" s="6" t="s">
        <v>59</v>
      </c>
      <c r="C18" s="6" t="s">
        <v>60</v>
      </c>
      <c r="D18" s="6" t="s">
        <v>61</v>
      </c>
    </row>
    <row r="19" spans="1:4">
      <c r="A19" s="6" t="s">
        <v>62</v>
      </c>
      <c r="B19" s="6" t="s">
        <v>63</v>
      </c>
      <c r="C19" s="6" t="s">
        <v>64</v>
      </c>
      <c r="D19" s="6" t="s">
        <v>65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3"/>
  <sheetViews>
    <sheetView workbookViewId="0">
      <selection activeCell="A1" sqref="A1"/>
    </sheetView>
  </sheetViews>
  <sheetFormatPr defaultColWidth="9" defaultRowHeight="15" outlineLevelCol="6"/>
  <cols>
    <col min="1" max="1" width="22" customWidth="1"/>
    <col min="2" max="2" width="30" customWidth="1"/>
    <col min="3" max="4" width="16" customWidth="1"/>
    <col min="5" max="5" width="20" customWidth="1"/>
    <col min="6" max="6" width="12" customWidth="1"/>
    <col min="7" max="7" width="17" customWidth="1"/>
  </cols>
  <sheetData>
    <row r="1" ht="20.25" spans="1:7">
      <c r="A1" s="1" t="s">
        <v>66</v>
      </c>
      <c r="B1" s="2"/>
      <c r="C1" s="2"/>
      <c r="D1" s="2"/>
      <c r="E1" s="2"/>
      <c r="F1" s="2"/>
      <c r="G1" s="2"/>
    </row>
    <row r="2" spans="1:7">
      <c r="A2" s="3" t="s">
        <v>67</v>
      </c>
      <c r="B2" s="2"/>
      <c r="C2" s="2"/>
      <c r="D2" s="2"/>
      <c r="E2" s="2"/>
      <c r="F2" s="2"/>
      <c r="G2" s="2"/>
    </row>
    <row r="3" spans="1:7">
      <c r="A3" s="2"/>
      <c r="B3" s="2"/>
      <c r="C3" s="2"/>
      <c r="D3" s="2"/>
      <c r="E3" s="2"/>
      <c r="F3" s="2"/>
      <c r="G3" s="2"/>
    </row>
    <row r="4" spans="1:7">
      <c r="A4" s="4" t="s">
        <v>2</v>
      </c>
      <c r="B4" s="4" t="s">
        <v>3</v>
      </c>
      <c r="C4" s="4" t="s">
        <v>68</v>
      </c>
      <c r="D4" s="4" t="s">
        <v>4</v>
      </c>
      <c r="E4" s="4" t="s">
        <v>5</v>
      </c>
      <c r="F4" s="4" t="s">
        <v>69</v>
      </c>
      <c r="G4" s="4" t="s">
        <v>70</v>
      </c>
    </row>
    <row r="5" spans="1:7">
      <c r="A5" s="5" t="str">
        <f>PROPER(TRIM('Before (raw)'!A5))</f>
        <v>Maria Santos</v>
      </c>
      <c r="B5" s="5" t="str">
        <f>LOWER(SUBSTITUTE('Before (raw)'!B5," ",""))</f>
        <v>maria.santos@gmail.com</v>
      </c>
      <c r="C5" s="6" t="str">
        <f>IF(LEFT(SUBSTITUTE(SUBSTITUTE(SUBSTITUTE(SUBSTITUTE(SUBSTITUTE(SUBSTITUTE('Before (raw)'!C5," ",""),"-",""),"+",""),"(",""),")",""),".",""),2)="63","0"&amp;MID(SUBSTITUTE(SUBSTITUTE(SUBSTITUTE(SUBSTITUTE(SUBSTITUTE(SUBSTITUTE('Before (raw)'!C5," ",""),"-",""),"+",""),"(",""),")",""),".",""),3,20),IF(LEFT(SUBSTITUTE(SUBSTITUTE(SUBSTITUTE(SUBSTITUTE(SUBSTITUTE(SUBSTITUTE('Before (raw)'!C5," ",""),"-",""),"+",""),"(",""),")",""),".",""),1)="9","0"&amp;SUBSTITUTE(SUBSTITUTE(SUBSTITUTE(SUBSTITUTE(SUBSTITUTE(SUBSTITUTE('Before (raw)'!C5," ",""),"-",""),"+",""),"(",""),")",""),".",""),SUBSTITUTE(SUBSTITUTE(SUBSTITUTE(SUBSTITUTE(SUBSTITUTE(SUBSTITUTE('Before (raw)'!C5," ",""),"-",""),"+",""),"(",""),")",""),".","")))</f>
        <v>09171234567</v>
      </c>
      <c r="D5" s="5" t="str">
        <f t="shared" ref="D5:D19" si="0">IF(LEN(C5)=11,LEFT(C5,4)&amp;"-"&amp;MID(C5,5,3)&amp;"-"&amp;RIGHT(C5,4),C5)</f>
        <v>0917-123-4567</v>
      </c>
      <c r="E5" s="5" t="str">
        <f>PROPER(TRIM('Before (raw)'!D5))</f>
        <v>Amadeo, Cavite</v>
      </c>
      <c r="F5" s="5" t="str">
        <f>IF(COUNTIF($B$5:B5,B5)&gt;1,"Duplicate","")</f>
        <v/>
      </c>
      <c r="G5" s="5" t="str">
        <f t="shared" ref="G5:G19" si="1">IF(LEN(C5)=11,"OK","Check number")</f>
        <v>OK</v>
      </c>
    </row>
    <row r="6" spans="1:7">
      <c r="A6" s="5" t="str">
        <f>PROPER(TRIM('Before (raw)'!A6))</f>
        <v>Juan Dela Cruz</v>
      </c>
      <c r="B6" s="5" t="str">
        <f>LOWER(SUBSTITUTE('Before (raw)'!B6," ",""))</f>
        <v>juan.delacruz@yahoo.com</v>
      </c>
      <c r="C6" s="6" t="str">
        <f>IF(LEFT(SUBSTITUTE(SUBSTITUTE(SUBSTITUTE(SUBSTITUTE(SUBSTITUTE(SUBSTITUTE('Before (raw)'!C6," ",""),"-",""),"+",""),"(",""),")",""),".",""),2)="63","0"&amp;MID(SUBSTITUTE(SUBSTITUTE(SUBSTITUTE(SUBSTITUTE(SUBSTITUTE(SUBSTITUTE('Before (raw)'!C6," ",""),"-",""),"+",""),"(",""),")",""),".",""),3,20),IF(LEFT(SUBSTITUTE(SUBSTITUTE(SUBSTITUTE(SUBSTITUTE(SUBSTITUTE(SUBSTITUTE('Before (raw)'!C6," ",""),"-",""),"+",""),"(",""),")",""),".",""),1)="9","0"&amp;SUBSTITUTE(SUBSTITUTE(SUBSTITUTE(SUBSTITUTE(SUBSTITUTE(SUBSTITUTE('Before (raw)'!C6," ",""),"-",""),"+",""),"(",""),")",""),".",""),SUBSTITUTE(SUBSTITUTE(SUBSTITUTE(SUBSTITUTE(SUBSTITUTE(SUBSTITUTE('Before (raw)'!C6," ",""),"-",""),"+",""),"(",""),")",""),".","")))</f>
        <v>09182345678</v>
      </c>
      <c r="D6" s="5" t="str">
        <f t="shared" si="0"/>
        <v>0918-234-5678</v>
      </c>
      <c r="E6" s="5" t="str">
        <f>PROPER(TRIM('Before (raw)'!D6))</f>
        <v>Dasmarinas City</v>
      </c>
      <c r="F6" s="5" t="str">
        <f>IF(COUNTIF($B$5:B6,B6)&gt;1,"Duplicate","")</f>
        <v/>
      </c>
      <c r="G6" s="5" t="str">
        <f t="shared" si="1"/>
        <v>OK</v>
      </c>
    </row>
    <row r="7" spans="1:7">
      <c r="A7" s="5" t="str">
        <f>PROPER(TRIM('Before (raw)'!A7))</f>
        <v>Ana Reyes</v>
      </c>
      <c r="B7" s="5" t="str">
        <f>LOWER(SUBSTITUTE('Before (raw)'!B7," ",""))</f>
        <v>ana.reyes@outlook.com</v>
      </c>
      <c r="C7" s="6" t="str">
        <f>IF(LEFT(SUBSTITUTE(SUBSTITUTE(SUBSTITUTE(SUBSTITUTE(SUBSTITUTE(SUBSTITUTE('Before (raw)'!C7," ",""),"-",""),"+",""),"(",""),")",""),".",""),2)="63","0"&amp;MID(SUBSTITUTE(SUBSTITUTE(SUBSTITUTE(SUBSTITUTE(SUBSTITUTE(SUBSTITUTE('Before (raw)'!C7," ",""),"-",""),"+",""),"(",""),")",""),".",""),3,20),IF(LEFT(SUBSTITUTE(SUBSTITUTE(SUBSTITUTE(SUBSTITUTE(SUBSTITUTE(SUBSTITUTE('Before (raw)'!C7," ",""),"-",""),"+",""),"(",""),")",""),".",""),1)="9","0"&amp;SUBSTITUTE(SUBSTITUTE(SUBSTITUTE(SUBSTITUTE(SUBSTITUTE(SUBSTITUTE('Before (raw)'!C7," ",""),"-",""),"+",""),"(",""),")",""),".",""),SUBSTITUTE(SUBSTITUTE(SUBSTITUTE(SUBSTITUTE(SUBSTITUTE(SUBSTITUTE('Before (raw)'!C7," ",""),"-",""),"+",""),"(",""),")",""),".","")))</f>
        <v>09193456789</v>
      </c>
      <c r="D7" s="5" t="str">
        <f t="shared" si="0"/>
        <v>0919-345-6789</v>
      </c>
      <c r="E7" s="5" t="str">
        <f>PROPER(TRIM('Before (raw)'!D7))</f>
        <v>Imus</v>
      </c>
      <c r="F7" s="5" t="str">
        <f>IF(COUNTIF($B$5:B7,B7)&gt;1,"Duplicate","")</f>
        <v/>
      </c>
      <c r="G7" s="5" t="str">
        <f t="shared" si="1"/>
        <v>OK</v>
      </c>
    </row>
    <row r="8" spans="1:7">
      <c r="A8" s="5" t="str">
        <f>PROPER(TRIM('Before (raw)'!A8))</f>
        <v>Mark Villanueva</v>
      </c>
      <c r="B8" s="5" t="str">
        <f>LOWER(SUBSTITUTE('Before (raw)'!B8," ",""))</f>
        <v>mark.v@gmail.com</v>
      </c>
      <c r="C8" s="6" t="str">
        <f>IF(LEFT(SUBSTITUTE(SUBSTITUTE(SUBSTITUTE(SUBSTITUTE(SUBSTITUTE(SUBSTITUTE('Before (raw)'!C8," ",""),"-",""),"+",""),"(",""),")",""),".",""),2)="63","0"&amp;MID(SUBSTITUTE(SUBSTITUTE(SUBSTITUTE(SUBSTITUTE(SUBSTITUTE(SUBSTITUTE('Before (raw)'!C8," ",""),"-",""),"+",""),"(",""),")",""),".",""),3,20),IF(LEFT(SUBSTITUTE(SUBSTITUTE(SUBSTITUTE(SUBSTITUTE(SUBSTITUTE(SUBSTITUTE('Before (raw)'!C8," ",""),"-",""),"+",""),"(",""),")",""),".",""),1)="9","0"&amp;SUBSTITUTE(SUBSTITUTE(SUBSTITUTE(SUBSTITUTE(SUBSTITUTE(SUBSTITUTE('Before (raw)'!C8," ",""),"-",""),"+",""),"(",""),")",""),".",""),SUBSTITUTE(SUBSTITUTE(SUBSTITUTE(SUBSTITUTE(SUBSTITUTE(SUBSTITUTE('Before (raw)'!C8," ",""),"-",""),"+",""),"(",""),")",""),".","")))</f>
        <v>09204567890</v>
      </c>
      <c r="D8" s="5" t="str">
        <f t="shared" si="0"/>
        <v>0920-456-7890</v>
      </c>
      <c r="E8" s="5" t="str">
        <f>PROPER(TRIM('Before (raw)'!D8))</f>
        <v>Tagaytay</v>
      </c>
      <c r="F8" s="5" t="str">
        <f>IF(COUNTIF($B$5:B8,B8)&gt;1,"Duplicate","")</f>
        <v/>
      </c>
      <c r="G8" s="5" t="str">
        <f t="shared" si="1"/>
        <v>OK</v>
      </c>
    </row>
    <row r="9" spans="1:7">
      <c r="A9" s="5" t="str">
        <f>PROPER(TRIM('Before (raw)'!A9))</f>
        <v>Lea Garcia</v>
      </c>
      <c r="B9" s="5" t="str">
        <f>LOWER(SUBSTITUTE('Before (raw)'!B9," ",""))</f>
        <v>lea.garcia@gmail.com</v>
      </c>
      <c r="C9" s="6" t="str">
        <f>IF(LEFT(SUBSTITUTE(SUBSTITUTE(SUBSTITUTE(SUBSTITUTE(SUBSTITUTE(SUBSTITUTE('Before (raw)'!C9," ",""),"-",""),"+",""),"(",""),")",""),".",""),2)="63","0"&amp;MID(SUBSTITUTE(SUBSTITUTE(SUBSTITUTE(SUBSTITUTE(SUBSTITUTE(SUBSTITUTE('Before (raw)'!C9," ",""),"-",""),"+",""),"(",""),")",""),".",""),3,20),IF(LEFT(SUBSTITUTE(SUBSTITUTE(SUBSTITUTE(SUBSTITUTE(SUBSTITUTE(SUBSTITUTE('Before (raw)'!C9," ",""),"-",""),"+",""),"(",""),")",""),".",""),1)="9","0"&amp;SUBSTITUTE(SUBSTITUTE(SUBSTITUTE(SUBSTITUTE(SUBSTITUTE(SUBSTITUTE('Before (raw)'!C9," ",""),"-",""),"+",""),"(",""),")",""),".",""),SUBSTITUTE(SUBSTITUTE(SUBSTITUTE(SUBSTITUTE(SUBSTITUTE(SUBSTITUTE('Before (raw)'!C9," ",""),"-",""),"+",""),"(",""),")",""),".","")))</f>
        <v>09215678901</v>
      </c>
      <c r="D9" s="5" t="str">
        <f t="shared" si="0"/>
        <v>0921-567-8901</v>
      </c>
      <c r="E9" s="5" t="str">
        <f>PROPER(TRIM('Before (raw)'!D9))</f>
        <v>Silang, Cavite</v>
      </c>
      <c r="F9" s="5" t="str">
        <f>IF(COUNTIF($B$5:B9,B9)&gt;1,"Duplicate","")</f>
        <v/>
      </c>
      <c r="G9" s="5" t="str">
        <f t="shared" si="1"/>
        <v>OK</v>
      </c>
    </row>
    <row r="10" spans="1:7">
      <c r="A10" s="5" t="str">
        <f>PROPER(TRIM('Before (raw)'!A10))</f>
        <v>Maria Santos</v>
      </c>
      <c r="B10" s="5" t="str">
        <f>LOWER(SUBSTITUTE('Before (raw)'!B10," ",""))</f>
        <v>maria.santos@gmail.com</v>
      </c>
      <c r="C10" s="6" t="str">
        <f>IF(LEFT(SUBSTITUTE(SUBSTITUTE(SUBSTITUTE(SUBSTITUTE(SUBSTITUTE(SUBSTITUTE('Before (raw)'!C10," ",""),"-",""),"+",""),"(",""),")",""),".",""),2)="63","0"&amp;MID(SUBSTITUTE(SUBSTITUTE(SUBSTITUTE(SUBSTITUTE(SUBSTITUTE(SUBSTITUTE('Before (raw)'!C10," ",""),"-",""),"+",""),"(",""),")",""),".",""),3,20),IF(LEFT(SUBSTITUTE(SUBSTITUTE(SUBSTITUTE(SUBSTITUTE(SUBSTITUTE(SUBSTITUTE('Before (raw)'!C10," ",""),"-",""),"+",""),"(",""),")",""),".",""),1)="9","0"&amp;SUBSTITUTE(SUBSTITUTE(SUBSTITUTE(SUBSTITUTE(SUBSTITUTE(SUBSTITUTE('Before (raw)'!C10," ",""),"-",""),"+",""),"(",""),")",""),".",""),SUBSTITUTE(SUBSTITUTE(SUBSTITUTE(SUBSTITUTE(SUBSTITUTE(SUBSTITUTE('Before (raw)'!C10," ",""),"-",""),"+",""),"(",""),")",""),".","")))</f>
        <v>09171234567</v>
      </c>
      <c r="D10" s="5" t="str">
        <f t="shared" si="0"/>
        <v>0917-123-4567</v>
      </c>
      <c r="E10" s="5" t="str">
        <f>PROPER(TRIM('Before (raw)'!D10))</f>
        <v>Amadeo, Cavite</v>
      </c>
      <c r="F10" s="5" t="str">
        <f>IF(COUNTIF($B$5:B10,B10)&gt;1,"Duplicate","")</f>
        <v>Duplicate</v>
      </c>
      <c r="G10" s="5" t="str">
        <f t="shared" si="1"/>
        <v>OK</v>
      </c>
    </row>
    <row r="11" spans="1:7">
      <c r="A11" s="5" t="str">
        <f>PROPER(TRIM('Before (raw)'!A11))</f>
        <v>Paolo Reyes</v>
      </c>
      <c r="B11" s="5" t="str">
        <f>LOWER(SUBSTITUTE('Before (raw)'!B11," ",""))</f>
        <v>paolo.r@company.ph</v>
      </c>
      <c r="C11" s="6" t="str">
        <f>IF(LEFT(SUBSTITUTE(SUBSTITUTE(SUBSTITUTE(SUBSTITUTE(SUBSTITUTE(SUBSTITUTE('Before (raw)'!C11," ",""),"-",""),"+",""),"(",""),")",""),".",""),2)="63","0"&amp;MID(SUBSTITUTE(SUBSTITUTE(SUBSTITUTE(SUBSTITUTE(SUBSTITUTE(SUBSTITUTE('Before (raw)'!C11," ",""),"-",""),"+",""),"(",""),")",""),".",""),3,20),IF(LEFT(SUBSTITUTE(SUBSTITUTE(SUBSTITUTE(SUBSTITUTE(SUBSTITUTE(SUBSTITUTE('Before (raw)'!C11," ",""),"-",""),"+",""),"(",""),")",""),".",""),1)="9","0"&amp;SUBSTITUTE(SUBSTITUTE(SUBSTITUTE(SUBSTITUTE(SUBSTITUTE(SUBSTITUTE('Before (raw)'!C11," ",""),"-",""),"+",""),"(",""),")",""),".",""),SUBSTITUTE(SUBSTITUTE(SUBSTITUTE(SUBSTITUTE(SUBSTITUTE(SUBSTITUTE('Before (raw)'!C11," ",""),"-",""),"+",""),"(",""),")",""),".","")))</f>
        <v>09226789012</v>
      </c>
      <c r="D11" s="5" t="str">
        <f t="shared" si="0"/>
        <v>0922-678-9012</v>
      </c>
      <c r="E11" s="5" t="str">
        <f>PROPER(TRIM('Before (raw)'!D11))</f>
        <v>General Trias</v>
      </c>
      <c r="F11" s="5" t="str">
        <f>IF(COUNTIF($B$5:B11,B11)&gt;1,"Duplicate","")</f>
        <v/>
      </c>
      <c r="G11" s="5" t="str">
        <f t="shared" si="1"/>
        <v>OK</v>
      </c>
    </row>
    <row r="12" spans="1:7">
      <c r="A12" s="5" t="str">
        <f>PROPER(TRIM('Before (raw)'!A12))</f>
        <v>Carla Mendoza</v>
      </c>
      <c r="B12" s="5" t="str">
        <f>LOWER(SUBSTITUTE('Before (raw)'!B12," ",""))</f>
        <v>carla.mendoza@yahoo.com</v>
      </c>
      <c r="C12" s="6" t="str">
        <f>IF(LEFT(SUBSTITUTE(SUBSTITUTE(SUBSTITUTE(SUBSTITUTE(SUBSTITUTE(SUBSTITUTE('Before (raw)'!C12," ",""),"-",""),"+",""),"(",""),")",""),".",""),2)="63","0"&amp;MID(SUBSTITUTE(SUBSTITUTE(SUBSTITUTE(SUBSTITUTE(SUBSTITUTE(SUBSTITUTE('Before (raw)'!C12," ",""),"-",""),"+",""),"(",""),")",""),".",""),3,20),IF(LEFT(SUBSTITUTE(SUBSTITUTE(SUBSTITUTE(SUBSTITUTE(SUBSTITUTE(SUBSTITUTE('Before (raw)'!C12," ",""),"-",""),"+",""),"(",""),")",""),".",""),1)="9","0"&amp;SUBSTITUTE(SUBSTITUTE(SUBSTITUTE(SUBSTITUTE(SUBSTITUTE(SUBSTITUTE('Before (raw)'!C12," ",""),"-",""),"+",""),"(",""),")",""),".",""),SUBSTITUTE(SUBSTITUTE(SUBSTITUTE(SUBSTITUTE(SUBSTITUTE(SUBSTITUTE('Before (raw)'!C12," ",""),"-",""),"+",""),"(",""),")",""),".","")))</f>
        <v>0923789012</v>
      </c>
      <c r="D12" s="5" t="str">
        <f t="shared" si="0"/>
        <v>0923789012</v>
      </c>
      <c r="E12" s="5" t="str">
        <f>PROPER(TRIM('Before (raw)'!D12))</f>
        <v>Bacoor</v>
      </c>
      <c r="F12" s="5" t="str">
        <f>IF(COUNTIF($B$5:B12,B12)&gt;1,"Duplicate","")</f>
        <v/>
      </c>
      <c r="G12" s="5" t="str">
        <f t="shared" si="1"/>
        <v>Check number</v>
      </c>
    </row>
    <row r="13" spans="1:7">
      <c r="A13" s="5" t="str">
        <f>PROPER(TRIM('Before (raw)'!A13))</f>
        <v>Rico Bautista</v>
      </c>
      <c r="B13" s="5" t="str">
        <f>LOWER(SUBSTITUTE('Before (raw)'!B13," ",""))</f>
        <v>rico.bautista@gmail.com</v>
      </c>
      <c r="C13" s="6" t="str">
        <f>IF(LEFT(SUBSTITUTE(SUBSTITUTE(SUBSTITUTE(SUBSTITUTE(SUBSTITUTE(SUBSTITUTE('Before (raw)'!C13," ",""),"-",""),"+",""),"(",""),")",""),".",""),2)="63","0"&amp;MID(SUBSTITUTE(SUBSTITUTE(SUBSTITUTE(SUBSTITUTE(SUBSTITUTE(SUBSTITUTE('Before (raw)'!C13," ",""),"-",""),"+",""),"(",""),")",""),".",""),3,20),IF(LEFT(SUBSTITUTE(SUBSTITUTE(SUBSTITUTE(SUBSTITUTE(SUBSTITUTE(SUBSTITUTE('Before (raw)'!C13," ",""),"-",""),"+",""),"(",""),")",""),".",""),1)="9","0"&amp;SUBSTITUTE(SUBSTITUTE(SUBSTITUTE(SUBSTITUTE(SUBSTITUTE(SUBSTITUTE('Before (raw)'!C13," ",""),"-",""),"+",""),"(",""),")",""),".",""),SUBSTITUTE(SUBSTITUTE(SUBSTITUTE(SUBSTITUTE(SUBSTITUTE(SUBSTITUTE('Before (raw)'!C13," ",""),"-",""),"+",""),"(",""),")",""),".","")))</f>
        <v>09248901234</v>
      </c>
      <c r="D13" s="5" t="str">
        <f t="shared" si="0"/>
        <v>0924-890-1234</v>
      </c>
      <c r="E13" s="5" t="str">
        <f>PROPER(TRIM('Before (raw)'!D13))</f>
        <v>Kawit</v>
      </c>
      <c r="F13" s="5" t="str">
        <f>IF(COUNTIF($B$5:B13,B13)&gt;1,"Duplicate","")</f>
        <v/>
      </c>
      <c r="G13" s="5" t="str">
        <f t="shared" si="1"/>
        <v>OK</v>
      </c>
    </row>
    <row r="14" spans="1:7">
      <c r="A14" s="5" t="str">
        <f>PROPER(TRIM('Before (raw)'!A14))</f>
        <v>Jenny Lim</v>
      </c>
      <c r="B14" s="5" t="str">
        <f>LOWER(SUBSTITUTE('Before (raw)'!B14," ",""))</f>
        <v>jenny.lim@gmail.com</v>
      </c>
      <c r="C14" s="6" t="str">
        <f>IF(LEFT(SUBSTITUTE(SUBSTITUTE(SUBSTITUTE(SUBSTITUTE(SUBSTITUTE(SUBSTITUTE('Before (raw)'!C14," ",""),"-",""),"+",""),"(",""),")",""),".",""),2)="63","0"&amp;MID(SUBSTITUTE(SUBSTITUTE(SUBSTITUTE(SUBSTITUTE(SUBSTITUTE(SUBSTITUTE('Before (raw)'!C14," ",""),"-",""),"+",""),"(",""),")",""),".",""),3,20),IF(LEFT(SUBSTITUTE(SUBSTITUTE(SUBSTITUTE(SUBSTITUTE(SUBSTITUTE(SUBSTITUTE('Before (raw)'!C14," ",""),"-",""),"+",""),"(",""),")",""),".",""),1)="9","0"&amp;SUBSTITUTE(SUBSTITUTE(SUBSTITUTE(SUBSTITUTE(SUBSTITUTE(SUBSTITUTE('Before (raw)'!C14," ",""),"-",""),"+",""),"(",""),")",""),".",""),SUBSTITUTE(SUBSTITUTE(SUBSTITUTE(SUBSTITUTE(SUBSTITUTE(SUBSTITUTE('Before (raw)'!C14," ",""),"-",""),"+",""),"(",""),")",""),".","")))</f>
        <v>09259012345</v>
      </c>
      <c r="D14" s="5" t="str">
        <f t="shared" si="0"/>
        <v>0925-901-2345</v>
      </c>
      <c r="E14" s="5" t="str">
        <f>PROPER(TRIM('Before (raw)'!D14))</f>
        <v>Trece Martires</v>
      </c>
      <c r="F14" s="5" t="str">
        <f>IF(COUNTIF($B$5:B14,B14)&gt;1,"Duplicate","")</f>
        <v/>
      </c>
      <c r="G14" s="5" t="str">
        <f t="shared" si="1"/>
        <v>OK</v>
      </c>
    </row>
    <row r="15" spans="1:7">
      <c r="A15" s="5" t="str">
        <f>PROPER(TRIM('Before (raw)'!A15))</f>
        <v>Ana Reyes</v>
      </c>
      <c r="B15" s="5" t="str">
        <f>LOWER(SUBSTITUTE('Before (raw)'!B15," ",""))</f>
        <v>ana.reyes@outlook.com</v>
      </c>
      <c r="C15" s="6" t="str">
        <f>IF(LEFT(SUBSTITUTE(SUBSTITUTE(SUBSTITUTE(SUBSTITUTE(SUBSTITUTE(SUBSTITUTE('Before (raw)'!C15," ",""),"-",""),"+",""),"(",""),")",""),".",""),2)="63","0"&amp;MID(SUBSTITUTE(SUBSTITUTE(SUBSTITUTE(SUBSTITUTE(SUBSTITUTE(SUBSTITUTE('Before (raw)'!C15," ",""),"-",""),"+",""),"(",""),")",""),".",""),3,20),IF(LEFT(SUBSTITUTE(SUBSTITUTE(SUBSTITUTE(SUBSTITUTE(SUBSTITUTE(SUBSTITUTE('Before (raw)'!C15," ",""),"-",""),"+",""),"(",""),")",""),".",""),1)="9","0"&amp;SUBSTITUTE(SUBSTITUTE(SUBSTITUTE(SUBSTITUTE(SUBSTITUTE(SUBSTITUTE('Before (raw)'!C15," ",""),"-",""),"+",""),"(",""),")",""),".",""),SUBSTITUTE(SUBSTITUTE(SUBSTITUTE(SUBSTITUTE(SUBSTITUTE(SUBSTITUTE('Before (raw)'!C15," ",""),"-",""),"+",""),"(",""),")",""),".","")))</f>
        <v>09193456789</v>
      </c>
      <c r="D15" s="5" t="str">
        <f t="shared" si="0"/>
        <v>0919-345-6789</v>
      </c>
      <c r="E15" s="5" t="str">
        <f>PROPER(TRIM('Before (raw)'!D15))</f>
        <v>Imus</v>
      </c>
      <c r="F15" s="5" t="str">
        <f>IF(COUNTIF($B$5:B15,B15)&gt;1,"Duplicate","")</f>
        <v>Duplicate</v>
      </c>
      <c r="G15" s="5" t="str">
        <f t="shared" si="1"/>
        <v>OK</v>
      </c>
    </row>
    <row r="16" spans="1:7">
      <c r="A16" s="5" t="str">
        <f>PROPER(TRIM('Before (raw)'!A16))</f>
        <v>Noel Cruz</v>
      </c>
      <c r="B16" s="5" t="str">
        <f>LOWER(SUBSTITUTE('Before (raw)'!B16," ",""))</f>
        <v>noel.cruz@gmail.com</v>
      </c>
      <c r="C16" s="6" t="str">
        <f>IF(LEFT(SUBSTITUTE(SUBSTITUTE(SUBSTITUTE(SUBSTITUTE(SUBSTITUTE(SUBSTITUTE('Before (raw)'!C16," ",""),"-",""),"+",""),"(",""),")",""),".",""),2)="63","0"&amp;MID(SUBSTITUTE(SUBSTITUTE(SUBSTITUTE(SUBSTITUTE(SUBSTITUTE(SUBSTITUTE('Before (raw)'!C16," ",""),"-",""),"+",""),"(",""),")",""),".",""),3,20),IF(LEFT(SUBSTITUTE(SUBSTITUTE(SUBSTITUTE(SUBSTITUTE(SUBSTITUTE(SUBSTITUTE('Before (raw)'!C16," ",""),"-",""),"+",""),"(",""),")",""),".",""),1)="9","0"&amp;SUBSTITUTE(SUBSTITUTE(SUBSTITUTE(SUBSTITUTE(SUBSTITUTE(SUBSTITUTE('Before (raw)'!C16," ",""),"-",""),"+",""),"(",""),")",""),".",""),SUBSTITUTE(SUBSTITUTE(SUBSTITUTE(SUBSTITUTE(SUBSTITUTE(SUBSTITUTE('Before (raw)'!C16," ",""),"-",""),"+",""),"(",""),")",""),".","")))</f>
        <v>09260123456</v>
      </c>
      <c r="D16" s="5" t="str">
        <f t="shared" si="0"/>
        <v>0926-012-3456</v>
      </c>
      <c r="E16" s="5" t="str">
        <f>PROPER(TRIM('Before (raw)'!D16))</f>
        <v>Tanza</v>
      </c>
      <c r="F16" s="5" t="str">
        <f>IF(COUNTIF($B$5:B16,B16)&gt;1,"Duplicate","")</f>
        <v/>
      </c>
      <c r="G16" s="5" t="str">
        <f t="shared" si="1"/>
        <v>OK</v>
      </c>
    </row>
    <row r="17" spans="1:7">
      <c r="A17" s="5" t="str">
        <f>PROPER(TRIM('Before (raw)'!A17))</f>
        <v>Grace Tan</v>
      </c>
      <c r="B17" s="5" t="str">
        <f>LOWER(SUBSTITUTE('Before (raw)'!B17," ",""))</f>
        <v>grace.tan@yahoo.com</v>
      </c>
      <c r="C17" s="6" t="str">
        <f>IF(LEFT(SUBSTITUTE(SUBSTITUTE(SUBSTITUTE(SUBSTITUTE(SUBSTITUTE(SUBSTITUTE('Before (raw)'!C17," ",""),"-",""),"+",""),"(",""),")",""),".",""),2)="63","0"&amp;MID(SUBSTITUTE(SUBSTITUTE(SUBSTITUTE(SUBSTITUTE(SUBSTITUTE(SUBSTITUTE('Before (raw)'!C17," ",""),"-",""),"+",""),"(",""),")",""),".",""),3,20),IF(LEFT(SUBSTITUTE(SUBSTITUTE(SUBSTITUTE(SUBSTITUTE(SUBSTITUTE(SUBSTITUTE('Before (raw)'!C17," ",""),"-",""),"+",""),"(",""),")",""),".",""),1)="9","0"&amp;SUBSTITUTE(SUBSTITUTE(SUBSTITUTE(SUBSTITUTE(SUBSTITUTE(SUBSTITUTE('Before (raw)'!C17," ",""),"-",""),"+",""),"(",""),")",""),".",""),SUBSTITUTE(SUBSTITUTE(SUBSTITUTE(SUBSTITUTE(SUBSTITUTE(SUBSTITUTE('Before (raw)'!C17," ",""),"-",""),"+",""),"(",""),")",""),".","")))</f>
        <v>092712345678</v>
      </c>
      <c r="D17" s="5" t="str">
        <f t="shared" si="0"/>
        <v>092712345678</v>
      </c>
      <c r="E17" s="5" t="str">
        <f>PROPER(TRIM('Before (raw)'!D17))</f>
        <v>Rosario</v>
      </c>
      <c r="F17" s="5" t="str">
        <f>IF(COUNTIF($B$5:B17,B17)&gt;1,"Duplicate","")</f>
        <v/>
      </c>
      <c r="G17" s="5" t="str">
        <f t="shared" si="1"/>
        <v>Check number</v>
      </c>
    </row>
    <row r="18" spans="1:7">
      <c r="A18" s="5" t="str">
        <f>PROPER(TRIM('Before (raw)'!A18))</f>
        <v>Ben Aquino</v>
      </c>
      <c r="B18" s="5" t="str">
        <f>LOWER(SUBSTITUTE('Before (raw)'!B18," ",""))</f>
        <v>ben.aquino@gmail.com</v>
      </c>
      <c r="C18" s="6" t="str">
        <f>IF(LEFT(SUBSTITUTE(SUBSTITUTE(SUBSTITUTE(SUBSTITUTE(SUBSTITUTE(SUBSTITUTE('Before (raw)'!C18," ",""),"-",""),"+",""),"(",""),")",""),".",""),2)="63","0"&amp;MID(SUBSTITUTE(SUBSTITUTE(SUBSTITUTE(SUBSTITUTE(SUBSTITUTE(SUBSTITUTE('Before (raw)'!C18," ",""),"-",""),"+",""),"(",""),")",""),".",""),3,20),IF(LEFT(SUBSTITUTE(SUBSTITUTE(SUBSTITUTE(SUBSTITUTE(SUBSTITUTE(SUBSTITUTE('Before (raw)'!C18," ",""),"-",""),"+",""),"(",""),")",""),".",""),1)="9","0"&amp;SUBSTITUTE(SUBSTITUTE(SUBSTITUTE(SUBSTITUTE(SUBSTITUTE(SUBSTITUTE('Before (raw)'!C18," ",""),"-",""),"+",""),"(",""),")",""),".",""),SUBSTITUTE(SUBSTITUTE(SUBSTITUTE(SUBSTITUTE(SUBSTITUTE(SUBSTITUTE('Before (raw)'!C18," ",""),"-",""),"+",""),"(",""),")",""),".","")))</f>
        <v>09281234567</v>
      </c>
      <c r="D18" s="5" t="str">
        <f t="shared" si="0"/>
        <v>0928-123-4567</v>
      </c>
      <c r="E18" s="5" t="str">
        <f>PROPER(TRIM('Before (raw)'!D18))</f>
        <v>Naic</v>
      </c>
      <c r="F18" s="5" t="str">
        <f>IF(COUNTIF($B$5:B18,B18)&gt;1,"Duplicate","")</f>
        <v/>
      </c>
      <c r="G18" s="5" t="str">
        <f t="shared" si="1"/>
        <v>OK</v>
      </c>
    </row>
    <row r="19" spans="1:7">
      <c r="A19" s="5" t="str">
        <f>PROPER(TRIM('Before (raw)'!A19))</f>
        <v>Liza Ramos</v>
      </c>
      <c r="B19" s="5" t="str">
        <f>LOWER(SUBSTITUTE('Before (raw)'!B19," ",""))</f>
        <v>liza.ramos@gmail.com</v>
      </c>
      <c r="C19" s="6" t="str">
        <f>IF(LEFT(SUBSTITUTE(SUBSTITUTE(SUBSTITUTE(SUBSTITUTE(SUBSTITUTE(SUBSTITUTE('Before (raw)'!C19," ",""),"-",""),"+",""),"(",""),")",""),".",""),2)="63","0"&amp;MID(SUBSTITUTE(SUBSTITUTE(SUBSTITUTE(SUBSTITUTE(SUBSTITUTE(SUBSTITUTE('Before (raw)'!C19," ",""),"-",""),"+",""),"(",""),")",""),".",""),3,20),IF(LEFT(SUBSTITUTE(SUBSTITUTE(SUBSTITUTE(SUBSTITUTE(SUBSTITUTE(SUBSTITUTE('Before (raw)'!C19," ",""),"-",""),"+",""),"(",""),")",""),".",""),1)="9","0"&amp;SUBSTITUTE(SUBSTITUTE(SUBSTITUTE(SUBSTITUTE(SUBSTITUTE(SUBSTITUTE('Before (raw)'!C19," ",""),"-",""),"+",""),"(",""),")",""),".",""),SUBSTITUTE(SUBSTITUTE(SUBSTITUTE(SUBSTITUTE(SUBSTITUTE(SUBSTITUTE('Before (raw)'!C19," ",""),"-",""),"+",""),"(",""),")",""),".","")))</f>
        <v>09292345678</v>
      </c>
      <c r="D19" s="5" t="str">
        <f t="shared" si="0"/>
        <v>0929-234-5678</v>
      </c>
      <c r="E19" s="5" t="str">
        <f>PROPER(TRIM('Before (raw)'!D19))</f>
        <v>Carmona</v>
      </c>
      <c r="F19" s="5" t="str">
        <f>IF(COUNTIF($B$5:B19,B19)&gt;1,"Duplicate","")</f>
        <v/>
      </c>
      <c r="G19" s="5" t="str">
        <f t="shared" si="1"/>
        <v>OK</v>
      </c>
    </row>
    <row r="20" spans="1:7">
      <c r="A20" s="2"/>
      <c r="B20" s="2"/>
      <c r="C20" s="2"/>
      <c r="D20" s="2"/>
      <c r="E20" s="2"/>
      <c r="F20" s="2"/>
      <c r="G20" s="2"/>
    </row>
    <row r="21" spans="1:7">
      <c r="A21" s="7" t="s">
        <v>71</v>
      </c>
      <c r="B21" s="7">
        <f>COUNTA(A5:A19)</f>
        <v>15</v>
      </c>
      <c r="C21" s="2"/>
      <c r="D21" s="2"/>
      <c r="E21" s="2"/>
      <c r="F21" s="2"/>
      <c r="G21" s="2"/>
    </row>
    <row r="22" spans="1:7">
      <c r="A22" s="7" t="s">
        <v>72</v>
      </c>
      <c r="B22" s="7">
        <f>COUNTIF(F5:F19,"Duplicate")</f>
        <v>2</v>
      </c>
      <c r="C22" s="2"/>
      <c r="D22" s="2"/>
      <c r="E22" s="2"/>
      <c r="F22" s="2"/>
      <c r="G22" s="2"/>
    </row>
    <row r="23" spans="1:7">
      <c r="A23" s="7" t="s">
        <v>73</v>
      </c>
      <c r="B23" s="7">
        <f>COUNTIF(G5:G19,"Check number")</f>
        <v>2</v>
      </c>
      <c r="C23" s="2"/>
      <c r="D23" s="2"/>
      <c r="E23" s="2"/>
      <c r="F23" s="2"/>
      <c r="G23" s="2"/>
    </row>
  </sheetData>
  <conditionalFormatting sqref="F5:G19">
    <cfRule type="expression" dxfId="0" priority="1">
      <formula>OR(F5="Duplicate",F5="Check number")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Before (raw)</vt:lpstr>
      <vt:lpstr>After (clean)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Marquez Jade Kendra</cp:lastModifiedBy>
  <dcterms:created xsi:type="dcterms:W3CDTF">2026-09-28T09:32:00Z</dcterms:created>
  <dcterms:modified xsi:type="dcterms:W3CDTF">2026-09-28T09:32:42Z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B107530765C84596A2E7FE6ECAE04689_12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