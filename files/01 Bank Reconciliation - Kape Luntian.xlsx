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/>
  </bookViews>
  <sheets>
    <sheet name="Reconciliation" sheetId="1" r:id="rId1"/>
    <sheet name="Cash Book" sheetId="2" r:id="rId2"/>
    <sheet name="Bank Statemen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<sst xmlns="http://schemas.openxmlformats.org/spreadsheetml/2006/main" count="89" uniqueCount="75">
  <si>
    <t>Kape Luntian Cafe - Bank Reconciliation Statement</t>
  </si>
  <si>
    <t>As of August 31, 2026  |  Sample data, fictional company</t>
  </si>
  <si>
    <t>BANK SIDE</t>
  </si>
  <si>
    <t>Balance per bank statement</t>
  </si>
  <si>
    <t>Add: Deposit in transit (DEP-0831, Aug 31)</t>
  </si>
  <si>
    <t>Less: Outstanding checks</t>
  </si>
  <si>
    <t xml:space="preserve">      CHK 2006 - Espresso machine repair</t>
  </si>
  <si>
    <t xml:space="preserve">      CHK 2007 - Milk and syrups</t>
  </si>
  <si>
    <t>Adjusted bank balance</t>
  </si>
  <si>
    <t>BOOK SIDE</t>
  </si>
  <si>
    <t>Balance per books</t>
  </si>
  <si>
    <t>Add: Interest earned</t>
  </si>
  <si>
    <t>Less: NSF check returned - R. Dizon catering</t>
  </si>
  <si>
    <t>Less: Bank service charge</t>
  </si>
  <si>
    <t>Less: Error on CHK 2003 (recorded 1,450; bank cleared 1,540)</t>
  </si>
  <si>
    <t>Adjusted book balance</t>
  </si>
  <si>
    <t>Status</t>
  </si>
  <si>
    <t>ADJUSTING JOURNAL ENTRIES (book side)</t>
  </si>
  <si>
    <t>Account</t>
  </si>
  <si>
    <t>Debit</t>
  </si>
  <si>
    <t>Credit</t>
  </si>
  <si>
    <t>1) Cash in Bank</t>
  </si>
  <si>
    <t xml:space="preserve">      Interest Income</t>
  </si>
  <si>
    <t>2) Accounts Receivable - R. Dizon</t>
  </si>
  <si>
    <t xml:space="preserve">      Cash in Bank</t>
  </si>
  <si>
    <t>3) Bank Service Charge Expense</t>
  </si>
  <si>
    <t>4) Utilities Expense</t>
  </si>
  <si>
    <t>Total</t>
  </si>
  <si>
    <t>No entry is needed for the deposit in transit or the outstanding checks: the bank will record them next month.</t>
  </si>
  <si>
    <t>Kape Luntian Cafe (fictional) - Cash in Bank ledger, August 2026</t>
  </si>
  <si>
    <t>What the cafe recorded in its own books.</t>
  </si>
  <si>
    <t>Date</t>
  </si>
  <si>
    <t>Reference</t>
  </si>
  <si>
    <t>Description</t>
  </si>
  <si>
    <t>Debit (in)</t>
  </si>
  <si>
    <t>Credit (out)</t>
  </si>
  <si>
    <t>Balance</t>
  </si>
  <si>
    <t>Beginning balance</t>
  </si>
  <si>
    <t>DEP-0803</t>
  </si>
  <si>
    <t>Deposit of cash sales</t>
  </si>
  <si>
    <t>CHK 2001</t>
  </si>
  <si>
    <t>Rent - Dagatan Commercial Space</t>
  </si>
  <si>
    <t>CHK 2002</t>
  </si>
  <si>
    <t>Coffee beans - Batangas Bean Traders</t>
  </si>
  <si>
    <t>DEP-0810</t>
  </si>
  <si>
    <t>CHK 2003</t>
  </si>
  <si>
    <t>Electricity - August bill</t>
  </si>
  <si>
    <t>CHK 2004</t>
  </si>
  <si>
    <t>Payroll - Aug 1 to 15</t>
  </si>
  <si>
    <t>DEP-0817</t>
  </si>
  <si>
    <t>DEP-0820</t>
  </si>
  <si>
    <t>Deposit of customer check - R. Dizon catering</t>
  </si>
  <si>
    <t>CHK 2005</t>
  </si>
  <si>
    <t>Cups, lids and napkins - Cavite Supplies</t>
  </si>
  <si>
    <t>DEP-0824</t>
  </si>
  <si>
    <t>CHK 2006</t>
  </si>
  <si>
    <t>Espresso machine repair</t>
  </si>
  <si>
    <t>CHK 2007</t>
  </si>
  <si>
    <t>Milk and syrups - Tagaytay Dairy</t>
  </si>
  <si>
    <t>DEP-0831</t>
  </si>
  <si>
    <t>Ending balance per books</t>
  </si>
  <si>
    <t>Sample Bank, Checking Account No. 0000-1234-56 - Statement for August 2026</t>
  </si>
  <si>
    <t>Account name: Kape Luntian Cafe (fictional). What the bank recorded.</t>
  </si>
  <si>
    <t>Withdrawals</t>
  </si>
  <si>
    <t>Deposits</t>
  </si>
  <si>
    <t>Deposit</t>
  </si>
  <si>
    <t>Check No. 2001</t>
  </si>
  <si>
    <t>Check No. 2002</t>
  </si>
  <si>
    <t>Check No. 2003</t>
  </si>
  <si>
    <t>Check No. 2004</t>
  </si>
  <si>
    <t>Check No. 2005</t>
  </si>
  <si>
    <t>Returned check - insufficient funds (R. Dizon)</t>
  </si>
  <si>
    <t>Monthly service charge</t>
  </si>
  <si>
    <t>Interest earned</t>
  </si>
  <si>
    <t>Ending balance per bank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</si>
</sst>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mm\ d\,\ yyyy"/>
    <numFmt numFmtId="179" formatCode="&quot;PHP &quot;#,##0.00"/>
  </numFmts>
  <fonts count="30">
    <font>
      <sz val="11"/>
      <color theme="1"/>
      <name val="Calibri"/>
      <charset val="134"/>
      <scheme val="minor"/>
    </font>
    <font>
      <b/>
      <sz val="13"/>
      <name val="Arial"/>
      <charset val="134"/>
    </font>
    <font>
      <sz val="11"/>
      <color theme="1"/>
      <name val="Arial"/>
      <charset val="134"/>
    </font>
    <font>
      <b/>
      <sz val="11"/>
      <name val="Arial"/>
      <charset val="134"/>
    </font>
    <font>
      <b/>
      <sz val="16"/>
      <color rgb="FF0F766E"/>
      <name val="Arial"/>
      <charset val="134"/>
    </font>
    <font>
      <i/>
      <sz val="10"/>
      <color rgb="FF595959"/>
      <name val="Arial"/>
      <charset val="134"/>
    </font>
    <font>
      <b/>
      <sz val="10"/>
      <name val="Arial"/>
      <charset val="134"/>
    </font>
    <font>
      <sz val="10"/>
      <name val="Arial"/>
      <charset val="134"/>
    </font>
    <font>
      <b/>
      <sz val="10"/>
      <color rgb="FF2E7D32"/>
      <name val="Arial"/>
      <charset val="134"/>
    </font>
    <font>
      <b/>
      <sz val="10"/>
      <color rgb="FFFFFFFF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D5F0EC"/>
        <bgColor indexed="64"/>
      </patternFill>
    </fill>
    <fill>
      <patternFill patternType="solid">
        <fgColor rgb="FF0F766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177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5" borderId="4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6" borderId="7" applyNumberFormat="0" applyAlignment="0" applyProtection="0">
      <alignment vertical="center"/>
    </xf>
    <xf numFmtId="0" fontId="20" fillId="7" borderId="8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2" fillId="8" borderId="9" applyNumberFormat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178" fontId="2" fillId="0" borderId="0" xfId="0" applyNumberFormat="1" applyFont="1"/>
    <xf numFmtId="179" fontId="2" fillId="0" borderId="0" xfId="0" applyNumberFormat="1" applyFont="1"/>
    <xf numFmtId="0" fontId="3" fillId="0" borderId="0" xfId="0" applyFont="1"/>
    <xf numFmtId="179" fontId="3" fillId="0" borderId="0" xfId="0" applyNumberFormat="1" applyFont="1"/>
    <xf numFmtId="0" fontId="4" fillId="0" borderId="0" xfId="0" applyFont="1"/>
    <xf numFmtId="0" fontId="5" fillId="0" borderId="0" xfId="0" applyFont="1"/>
    <xf numFmtId="0" fontId="6" fillId="3" borderId="0" xfId="0" applyFont="1" applyFill="1"/>
    <xf numFmtId="0" fontId="2" fillId="3" borderId="0" xfId="0" applyFont="1" applyFill="1"/>
    <xf numFmtId="0" fontId="6" fillId="0" borderId="0" xfId="0" applyFont="1"/>
    <xf numFmtId="179" fontId="6" fillId="0" borderId="0" xfId="0" applyNumberFormat="1" applyFont="1"/>
    <xf numFmtId="0" fontId="7" fillId="0" borderId="0" xfId="0" applyFont="1"/>
    <xf numFmtId="179" fontId="7" fillId="0" borderId="0" xfId="0" applyNumberFormat="1" applyFont="1"/>
    <xf numFmtId="179" fontId="6" fillId="0" borderId="2" xfId="0" applyNumberFormat="1" applyFont="1" applyBorder="1"/>
    <xf numFmtId="0" fontId="8" fillId="0" borderId="0" xfId="0" applyFont="1"/>
    <xf numFmtId="0" fontId="9" fillId="4" borderId="3" xfId="0" applyFont="1" applyFill="1" applyBorder="1" applyAlignment="1">
      <alignment horizontal="center" vertical="center" wrapText="1"/>
    </xf>
    <xf numFmtId="0" fontId="2" fillId="0" borderId="3" xfId="0" applyFont="1" applyBorder="1"/>
    <xf numFmtId="179" fontId="2" fillId="0" borderId="3" xfId="0" applyNumberFormat="1" applyFon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4"/>
  <sheetViews>
    <sheetView tabSelected="1" workbookViewId="0">
      <selection activeCell="A1" sqref="A1"/>
    </sheetView>
  </sheetViews>
  <sheetFormatPr defaultColWidth="9" defaultRowHeight="15" outlineLevelCol="2"/>
  <cols>
    <col min="1" max="1" width="62" customWidth="1"/>
    <col min="2" max="3" width="20" customWidth="1"/>
  </cols>
  <sheetData>
    <row r="1" ht="20.25" spans="1:3">
      <c r="A1" s="8" t="s">
        <v>0</v>
      </c>
      <c r="B1" s="2"/>
      <c r="C1" s="2"/>
    </row>
    <row r="2" spans="1:3">
      <c r="A2" s="9" t="s">
        <v>1</v>
      </c>
      <c r="B2" s="2"/>
      <c r="C2" s="2"/>
    </row>
    <row r="3" spans="1:3">
      <c r="A3" s="2"/>
      <c r="B3" s="2"/>
      <c r="C3" s="2"/>
    </row>
    <row r="4" spans="1:3">
      <c r="A4" s="10" t="s">
        <v>2</v>
      </c>
      <c r="B4" s="11"/>
      <c r="C4" s="2"/>
    </row>
    <row r="5" spans="1:3">
      <c r="A5" s="12" t="s">
        <v>3</v>
      </c>
      <c r="B5" s="13">
        <f>'Bank Statement'!E19</f>
        <v>233615.6</v>
      </c>
      <c r="C5" s="2"/>
    </row>
    <row r="6" spans="1:3">
      <c r="A6" s="14" t="s">
        <v>4</v>
      </c>
      <c r="B6" s="15">
        <f>'Cash Book'!D18</f>
        <v>36200</v>
      </c>
      <c r="C6" s="2"/>
    </row>
    <row r="7" spans="1:3">
      <c r="A7" s="14" t="s">
        <v>5</v>
      </c>
      <c r="B7" s="2"/>
      <c r="C7" s="2"/>
    </row>
    <row r="8" spans="1:3">
      <c r="A8" s="14" t="s">
        <v>6</v>
      </c>
      <c r="B8" s="15">
        <f>'Cash Book'!E16</f>
        <v>9300</v>
      </c>
      <c r="C8" s="2"/>
    </row>
    <row r="9" spans="1:3">
      <c r="A9" s="14" t="s">
        <v>7</v>
      </c>
      <c r="B9" s="15">
        <f>'Cash Book'!E17</f>
        <v>14625</v>
      </c>
      <c r="C9" s="2"/>
    </row>
    <row r="10" ht="15.75" spans="1:3">
      <c r="A10" s="12" t="s">
        <v>8</v>
      </c>
      <c r="B10" s="16">
        <f>B5+B6-SUM(B8:B9)</f>
        <v>245890.6</v>
      </c>
      <c r="C10" s="2"/>
    </row>
    <row r="11" ht="15.75" spans="1:3">
      <c r="A11" s="2"/>
      <c r="B11" s="2"/>
      <c r="C11" s="2"/>
    </row>
    <row r="12" spans="1:3">
      <c r="A12" s="10" t="s">
        <v>9</v>
      </c>
      <c r="B12" s="11"/>
      <c r="C12" s="2"/>
    </row>
    <row r="13" spans="1:3">
      <c r="A13" s="12" t="s">
        <v>10</v>
      </c>
      <c r="B13" s="13">
        <f>'Cash Book'!F19</f>
        <v>258145</v>
      </c>
      <c r="C13" s="2"/>
    </row>
    <row r="14" spans="1:3">
      <c r="A14" s="14" t="s">
        <v>11</v>
      </c>
      <c r="B14" s="15">
        <f>'Bank Statement'!D18</f>
        <v>85.6</v>
      </c>
      <c r="C14" s="2"/>
    </row>
    <row r="15" spans="1:3">
      <c r="A15" s="14" t="s">
        <v>12</v>
      </c>
      <c r="B15" s="15">
        <f>'Bank Statement'!C16</f>
        <v>12000</v>
      </c>
      <c r="C15" s="2"/>
    </row>
    <row r="16" spans="1:3">
      <c r="A16" s="14" t="s">
        <v>13</v>
      </c>
      <c r="B16" s="15">
        <f>'Bank Statement'!C17</f>
        <v>250</v>
      </c>
      <c r="C16" s="2"/>
    </row>
    <row r="17" spans="1:3">
      <c r="A17" s="14" t="s">
        <v>14</v>
      </c>
      <c r="B17" s="15">
        <f>'Bank Statement'!C10-'Cash Book'!E10</f>
        <v>90</v>
      </c>
      <c r="C17" s="2"/>
    </row>
    <row r="18" ht="15.75" spans="1:3">
      <c r="A18" s="12" t="s">
        <v>15</v>
      </c>
      <c r="B18" s="16">
        <f>B13+B14-B15-B16-B17</f>
        <v>245890.6</v>
      </c>
      <c r="C18" s="2"/>
    </row>
    <row r="19" ht="15.75" spans="1:3">
      <c r="A19" s="2"/>
      <c r="B19" s="2"/>
      <c r="C19" s="2"/>
    </row>
    <row r="20" spans="1:3">
      <c r="A20" s="12" t="s">
        <v>16</v>
      </c>
      <c r="B20" s="17" t="str">
        <f>IF(ROUND(B10-B18,2)=0,"Reconciled","Difference: "&amp;TEXT(B10-B18,"#,##0.00"))</f>
        <v>Reconciled</v>
      </c>
      <c r="C20" s="2"/>
    </row>
    <row r="21" spans="1:3">
      <c r="A21" s="2"/>
      <c r="B21" s="2"/>
      <c r="C21" s="2"/>
    </row>
    <row r="22" spans="1:3">
      <c r="A22" s="12" t="s">
        <v>17</v>
      </c>
      <c r="B22" s="2"/>
      <c r="C22" s="2"/>
    </row>
    <row r="23" spans="1:3">
      <c r="A23" s="18" t="s">
        <v>18</v>
      </c>
      <c r="B23" s="18" t="s">
        <v>19</v>
      </c>
      <c r="C23" s="18" t="s">
        <v>20</v>
      </c>
    </row>
    <row r="24" spans="1:3">
      <c r="A24" s="19" t="s">
        <v>21</v>
      </c>
      <c r="B24" s="20">
        <f>B14</f>
        <v>85.6</v>
      </c>
      <c r="C24" s="19"/>
    </row>
    <row r="25" spans="1:3">
      <c r="A25" s="19" t="s">
        <v>22</v>
      </c>
      <c r="B25" s="19"/>
      <c r="C25" s="20">
        <f>B14</f>
        <v>85.6</v>
      </c>
    </row>
    <row r="26" spans="1:3">
      <c r="A26" s="19" t="s">
        <v>23</v>
      </c>
      <c r="B26" s="20">
        <f>B15</f>
        <v>12000</v>
      </c>
      <c r="C26" s="19"/>
    </row>
    <row r="27" spans="1:3">
      <c r="A27" s="19" t="s">
        <v>24</v>
      </c>
      <c r="B27" s="19"/>
      <c r="C27" s="20">
        <f>B15</f>
        <v>12000</v>
      </c>
    </row>
    <row r="28" spans="1:3">
      <c r="A28" s="19" t="s">
        <v>25</v>
      </c>
      <c r="B28" s="20">
        <f>B16</f>
        <v>250</v>
      </c>
      <c r="C28" s="19"/>
    </row>
    <row r="29" spans="1:3">
      <c r="A29" s="19" t="s">
        <v>24</v>
      </c>
      <c r="B29" s="19"/>
      <c r="C29" s="20">
        <f>B16</f>
        <v>250</v>
      </c>
    </row>
    <row r="30" spans="1:3">
      <c r="A30" s="19" t="s">
        <v>26</v>
      </c>
      <c r="B30" s="20">
        <f>B17</f>
        <v>90</v>
      </c>
      <c r="C30" s="19"/>
    </row>
    <row r="31" spans="1:3">
      <c r="A31" s="19" t="s">
        <v>24</v>
      </c>
      <c r="B31" s="19"/>
      <c r="C31" s="20">
        <f>B17</f>
        <v>90</v>
      </c>
    </row>
    <row r="32" spans="1:3">
      <c r="A32" s="12" t="s">
        <v>27</v>
      </c>
      <c r="B32" s="13">
        <f>SUM(B24:B31)</f>
        <v>12425.6</v>
      </c>
      <c r="C32" s="13">
        <f>SUM(C24:C31)</f>
        <v>12425.6</v>
      </c>
    </row>
    <row r="33" spans="1:3">
      <c r="A33" s="2"/>
      <c r="B33" s="2"/>
      <c r="C33" s="2"/>
    </row>
    <row r="34" spans="1:3">
      <c r="A34" s="9" t="s">
        <v>28</v>
      </c>
      <c r="B34" s="2"/>
      <c r="C34" s="2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"/>
  <sheetViews>
    <sheetView workbookViewId="0">
      <selection activeCell="A1" sqref="A1"/>
    </sheetView>
  </sheetViews>
  <sheetFormatPr defaultColWidth="9" defaultRowHeight="15" outlineLevelCol="5"/>
  <cols>
    <col min="1" max="1" width="14" customWidth="1"/>
    <col min="2" max="2" width="12" customWidth="1"/>
    <col min="3" max="3" width="48" customWidth="1"/>
    <col min="4" max="5" width="16" customWidth="1"/>
    <col min="6" max="6" width="18" customWidth="1"/>
  </cols>
  <sheetData>
    <row r="1" ht="16.5" spans="1:6">
      <c r="A1" s="1" t="s">
        <v>29</v>
      </c>
      <c r="B1" s="2"/>
      <c r="C1" s="2"/>
      <c r="D1" s="2"/>
      <c r="E1" s="2"/>
      <c r="F1" s="2"/>
    </row>
    <row r="2" spans="1:6">
      <c r="A2" s="2" t="s">
        <v>30</v>
      </c>
      <c r="B2" s="2"/>
      <c r="C2" s="2"/>
      <c r="D2" s="2"/>
      <c r="E2" s="2"/>
      <c r="F2" s="2"/>
    </row>
    <row r="3" spans="1:6">
      <c r="A3" s="2"/>
      <c r="B3" s="2"/>
      <c r="C3" s="2"/>
      <c r="D3" s="2"/>
      <c r="E3" s="2"/>
      <c r="F3" s="2"/>
    </row>
    <row r="4" spans="1:6">
      <c r="A4" s="3" t="s">
        <v>31</v>
      </c>
      <c r="B4" s="3" t="s">
        <v>32</v>
      </c>
      <c r="C4" s="3" t="s">
        <v>33</v>
      </c>
      <c r="D4" s="3" t="s">
        <v>34</v>
      </c>
      <c r="E4" s="3" t="s">
        <v>35</v>
      </c>
      <c r="F4" s="3" t="s">
        <v>36</v>
      </c>
    </row>
    <row r="5" spans="1:6">
      <c r="A5" s="4">
        <v>46235</v>
      </c>
      <c r="B5" s="2"/>
      <c r="C5" s="2" t="s">
        <v>37</v>
      </c>
      <c r="D5" s="5"/>
      <c r="E5" s="5"/>
      <c r="F5" s="5">
        <v>150000</v>
      </c>
    </row>
    <row r="6" spans="1:6">
      <c r="A6" s="4">
        <v>46237</v>
      </c>
      <c r="B6" s="2" t="s">
        <v>38</v>
      </c>
      <c r="C6" s="2" t="s">
        <v>39</v>
      </c>
      <c r="D6" s="5">
        <v>45000</v>
      </c>
      <c r="E6" s="5"/>
      <c r="F6" s="5">
        <v>195000</v>
      </c>
    </row>
    <row r="7" spans="1:6">
      <c r="A7" s="4">
        <v>46239</v>
      </c>
      <c r="B7" s="2" t="s">
        <v>40</v>
      </c>
      <c r="C7" s="2" t="s">
        <v>41</v>
      </c>
      <c r="D7" s="5"/>
      <c r="E7" s="5">
        <v>25000</v>
      </c>
      <c r="F7" s="5">
        <v>170000</v>
      </c>
    </row>
    <row r="8" spans="1:6">
      <c r="A8" s="4">
        <v>46242</v>
      </c>
      <c r="B8" s="2" t="s">
        <v>42</v>
      </c>
      <c r="C8" s="2" t="s">
        <v>43</v>
      </c>
      <c r="D8" s="5"/>
      <c r="E8" s="5">
        <v>18450</v>
      </c>
      <c r="F8" s="5">
        <v>151550</v>
      </c>
    </row>
    <row r="9" spans="1:6">
      <c r="A9" s="4">
        <v>46244</v>
      </c>
      <c r="B9" s="2" t="s">
        <v>44</v>
      </c>
      <c r="C9" s="2" t="s">
        <v>39</v>
      </c>
      <c r="D9" s="5">
        <v>38500</v>
      </c>
      <c r="E9" s="5"/>
      <c r="F9" s="5">
        <v>190050</v>
      </c>
    </row>
    <row r="10" spans="1:6">
      <c r="A10" s="4">
        <v>46246</v>
      </c>
      <c r="B10" s="2" t="s">
        <v>45</v>
      </c>
      <c r="C10" s="2" t="s">
        <v>46</v>
      </c>
      <c r="D10" s="5"/>
      <c r="E10" s="5">
        <v>1450</v>
      </c>
      <c r="F10" s="5">
        <v>188600</v>
      </c>
    </row>
    <row r="11" spans="1:6">
      <c r="A11" s="4">
        <v>46249</v>
      </c>
      <c r="B11" s="2" t="s">
        <v>47</v>
      </c>
      <c r="C11" s="2" t="s">
        <v>48</v>
      </c>
      <c r="D11" s="5"/>
      <c r="E11" s="5">
        <v>42000</v>
      </c>
      <c r="F11" s="5">
        <v>146600</v>
      </c>
    </row>
    <row r="12" spans="1:6">
      <c r="A12" s="4">
        <v>46251</v>
      </c>
      <c r="B12" s="2" t="s">
        <v>49</v>
      </c>
      <c r="C12" s="2" t="s">
        <v>39</v>
      </c>
      <c r="D12" s="5">
        <v>52300</v>
      </c>
      <c r="E12" s="5"/>
      <c r="F12" s="5">
        <v>198900</v>
      </c>
    </row>
    <row r="13" spans="1:6">
      <c r="A13" s="4">
        <v>46254</v>
      </c>
      <c r="B13" s="2" t="s">
        <v>50</v>
      </c>
      <c r="C13" s="2" t="s">
        <v>51</v>
      </c>
      <c r="D13" s="5">
        <v>12000</v>
      </c>
      <c r="E13" s="5"/>
      <c r="F13" s="5">
        <v>210900</v>
      </c>
    </row>
    <row r="14" spans="1:6">
      <c r="A14" s="4">
        <v>46256</v>
      </c>
      <c r="B14" s="2" t="s">
        <v>52</v>
      </c>
      <c r="C14" s="2" t="s">
        <v>53</v>
      </c>
      <c r="D14" s="5"/>
      <c r="E14" s="5">
        <v>6780</v>
      </c>
      <c r="F14" s="5">
        <v>204120</v>
      </c>
    </row>
    <row r="15" spans="1:6">
      <c r="A15" s="4">
        <v>46258</v>
      </c>
      <c r="B15" s="2" t="s">
        <v>54</v>
      </c>
      <c r="C15" s="2" t="s">
        <v>39</v>
      </c>
      <c r="D15" s="5">
        <v>41750</v>
      </c>
      <c r="E15" s="5"/>
      <c r="F15" s="5">
        <v>245870</v>
      </c>
    </row>
    <row r="16" spans="1:6">
      <c r="A16" s="4">
        <v>46262</v>
      </c>
      <c r="B16" s="2" t="s">
        <v>55</v>
      </c>
      <c r="C16" s="2" t="s">
        <v>56</v>
      </c>
      <c r="D16" s="5"/>
      <c r="E16" s="5">
        <v>9300</v>
      </c>
      <c r="F16" s="5">
        <v>236570</v>
      </c>
    </row>
    <row r="17" spans="1:6">
      <c r="A17" s="4">
        <v>46264</v>
      </c>
      <c r="B17" s="2" t="s">
        <v>57</v>
      </c>
      <c r="C17" s="2" t="s">
        <v>58</v>
      </c>
      <c r="D17" s="5"/>
      <c r="E17" s="5">
        <v>14625</v>
      </c>
      <c r="F17" s="5">
        <v>221945</v>
      </c>
    </row>
    <row r="18" spans="1:6">
      <c r="A18" s="4">
        <v>46265</v>
      </c>
      <c r="B18" s="2" t="s">
        <v>59</v>
      </c>
      <c r="C18" s="2" t="s">
        <v>39</v>
      </c>
      <c r="D18" s="5">
        <v>36200</v>
      </c>
      <c r="E18" s="5"/>
      <c r="F18" s="5">
        <v>258145</v>
      </c>
    </row>
    <row r="19" spans="1:6">
      <c r="A19" s="4"/>
      <c r="B19" s="2"/>
      <c r="C19" s="6" t="s">
        <v>60</v>
      </c>
      <c r="D19" s="5"/>
      <c r="E19" s="5"/>
      <c r="F19" s="7">
        <v>258145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9"/>
  <sheetViews>
    <sheetView workbookViewId="0">
      <selection activeCell="A1" sqref="A1"/>
    </sheetView>
  </sheetViews>
  <sheetFormatPr defaultColWidth="9" defaultRowHeight="15" outlineLevelCol="4"/>
  <cols>
    <col min="1" max="1" width="14" customWidth="1"/>
    <col min="2" max="2" width="48" customWidth="1"/>
    <col min="3" max="4" width="16" customWidth="1"/>
    <col min="5" max="5" width="18" customWidth="1"/>
  </cols>
  <sheetData>
    <row r="1" ht="16.5" spans="1:5">
      <c r="A1" s="1" t="s">
        <v>61</v>
      </c>
      <c r="B1" s="2"/>
      <c r="C1" s="2"/>
      <c r="D1" s="2"/>
      <c r="E1" s="2"/>
    </row>
    <row r="2" spans="1:5">
      <c r="A2" s="2" t="s">
        <v>62</v>
      </c>
      <c r="B2" s="2"/>
      <c r="C2" s="2"/>
      <c r="D2" s="2"/>
      <c r="E2" s="2"/>
    </row>
    <row r="3" spans="1:5">
      <c r="A3" s="2"/>
      <c r="B3" s="2"/>
      <c r="C3" s="2"/>
      <c r="D3" s="2"/>
      <c r="E3" s="2"/>
    </row>
    <row r="4" spans="1:5">
      <c r="A4" s="3" t="s">
        <v>31</v>
      </c>
      <c r="B4" s="3" t="s">
        <v>33</v>
      </c>
      <c r="C4" s="3" t="s">
        <v>63</v>
      </c>
      <c r="D4" s="3" t="s">
        <v>64</v>
      </c>
      <c r="E4" s="3" t="s">
        <v>36</v>
      </c>
    </row>
    <row r="5" spans="1:5">
      <c r="A5" s="4">
        <v>46235</v>
      </c>
      <c r="B5" s="2" t="s">
        <v>37</v>
      </c>
      <c r="C5" s="5"/>
      <c r="D5" s="5"/>
      <c r="E5" s="5">
        <v>150000</v>
      </c>
    </row>
    <row r="6" spans="1:5">
      <c r="A6" s="4">
        <v>46237</v>
      </c>
      <c r="B6" s="2" t="s">
        <v>65</v>
      </c>
      <c r="C6" s="5"/>
      <c r="D6" s="5">
        <v>45000</v>
      </c>
      <c r="E6" s="5">
        <v>195000</v>
      </c>
    </row>
    <row r="7" spans="1:5">
      <c r="A7" s="4">
        <v>46240</v>
      </c>
      <c r="B7" s="2" t="s">
        <v>66</v>
      </c>
      <c r="C7" s="5">
        <v>25000</v>
      </c>
      <c r="D7" s="5"/>
      <c r="E7" s="5">
        <v>170000</v>
      </c>
    </row>
    <row r="8" spans="1:5">
      <c r="A8" s="4">
        <v>46244</v>
      </c>
      <c r="B8" s="2" t="s">
        <v>65</v>
      </c>
      <c r="C8" s="5"/>
      <c r="D8" s="5">
        <v>38500</v>
      </c>
      <c r="E8" s="5">
        <v>208500</v>
      </c>
    </row>
    <row r="9" spans="1:5">
      <c r="A9" s="4">
        <v>46245</v>
      </c>
      <c r="B9" s="2" t="s">
        <v>67</v>
      </c>
      <c r="C9" s="5">
        <v>18450</v>
      </c>
      <c r="D9" s="5"/>
      <c r="E9" s="5">
        <v>190050</v>
      </c>
    </row>
    <row r="10" spans="1:5">
      <c r="A10" s="4">
        <v>46248</v>
      </c>
      <c r="B10" s="2" t="s">
        <v>68</v>
      </c>
      <c r="C10" s="5">
        <v>1540</v>
      </c>
      <c r="D10" s="5"/>
      <c r="E10" s="5">
        <v>188510</v>
      </c>
    </row>
    <row r="11" spans="1:5">
      <c r="A11" s="4">
        <v>46250</v>
      </c>
      <c r="B11" s="2" t="s">
        <v>69</v>
      </c>
      <c r="C11" s="5">
        <v>42000</v>
      </c>
      <c r="D11" s="5"/>
      <c r="E11" s="5">
        <v>146510</v>
      </c>
    </row>
    <row r="12" spans="1:5">
      <c r="A12" s="4">
        <v>46251</v>
      </c>
      <c r="B12" s="2" t="s">
        <v>65</v>
      </c>
      <c r="C12" s="5"/>
      <c r="D12" s="5">
        <v>52300</v>
      </c>
      <c r="E12" s="5">
        <v>198810</v>
      </c>
    </row>
    <row r="13" spans="1:5">
      <c r="A13" s="4">
        <v>46254</v>
      </c>
      <c r="B13" s="2" t="s">
        <v>65</v>
      </c>
      <c r="C13" s="5"/>
      <c r="D13" s="5">
        <v>12000</v>
      </c>
      <c r="E13" s="5">
        <v>210810</v>
      </c>
    </row>
    <row r="14" spans="1:5">
      <c r="A14" s="4">
        <v>46258</v>
      </c>
      <c r="B14" s="2" t="s">
        <v>65</v>
      </c>
      <c r="C14" s="5"/>
      <c r="D14" s="5">
        <v>41750</v>
      </c>
      <c r="E14" s="5">
        <v>252560</v>
      </c>
    </row>
    <row r="15" spans="1:5">
      <c r="A15" s="4">
        <v>46259</v>
      </c>
      <c r="B15" s="2" t="s">
        <v>70</v>
      </c>
      <c r="C15" s="5">
        <v>6780</v>
      </c>
      <c r="D15" s="5"/>
      <c r="E15" s="5">
        <v>245780</v>
      </c>
    </row>
    <row r="16" spans="1:5">
      <c r="A16" s="4">
        <v>46260</v>
      </c>
      <c r="B16" s="2" t="s">
        <v>71</v>
      </c>
      <c r="C16" s="5">
        <v>12000</v>
      </c>
      <c r="D16" s="5"/>
      <c r="E16" s="5">
        <v>233780</v>
      </c>
    </row>
    <row r="17" spans="1:5">
      <c r="A17" s="4">
        <v>46265</v>
      </c>
      <c r="B17" s="2" t="s">
        <v>72</v>
      </c>
      <c r="C17" s="5">
        <v>250</v>
      </c>
      <c r="D17" s="5"/>
      <c r="E17" s="5">
        <v>233530</v>
      </c>
    </row>
    <row r="18" spans="1:5">
      <c r="A18" s="4">
        <v>46265</v>
      </c>
      <c r="B18" s="2" t="s">
        <v>73</v>
      </c>
      <c r="C18" s="5"/>
      <c r="D18" s="5">
        <v>85.6</v>
      </c>
      <c r="E18" s="5">
        <v>233615.6</v>
      </c>
    </row>
    <row r="19" spans="1:5">
      <c r="A19" s="4"/>
      <c r="B19" s="6" t="s">
        <v>74</v>
      </c>
      <c r="C19" s="5"/>
      <c r="D19" s="5"/>
      <c r="E19" s="7">
        <v>233615.6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Reconciliation</vt:lpstr>
      <vt:lpstr>Cash Book</vt:lpstr>
      <vt:lpstr>Bank Statement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Marquez Jade Kendra</cp:lastModifiedBy>
  <dcterms:created xsi:type="dcterms:W3CDTF">2026-09-28T07:42:00Z</dcterms:created>
  <dcterms:modified xsi:type="dcterms:W3CDTF">2026-09-28T09:32:40Z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BEFA831FB72446FFB0647EEE560F495F_12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