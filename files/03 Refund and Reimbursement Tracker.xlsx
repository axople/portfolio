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<sst xmlns="http://schemas.openxmlformats.org/spreadsheetml/2006/main" count="46" uniqueCount="39">
  <si>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Marketplace Refund and Reimbursement Tracker</t>
  </si>
  <si>
    <t>Flags refunded orders where the customer never sent the item back, and how much to claim  |  Sample data</t>
  </si>
  <si>
    <t>As-of date</t>
  </si>
  <si>
    <t>Yellow cells are settings. Change them to match the marketplace's current policy.</t>
  </si>
  <si>
    <t>Orders to claim now</t>
  </si>
  <si>
    <t>Return window (days)</t>
  </si>
  <si>
    <t>Total to claim</t>
  </si>
  <si>
    <t>Reimbursement rate (% of unit cost)</t>
  </si>
  <si>
    <t>Order ID</t>
  </si>
  <si>
    <t>Order date</t>
  </si>
  <si>
    <t>Product</t>
  </si>
  <si>
    <t>Unit cost</t>
  </si>
  <si>
    <t>Refunded qty</t>
  </si>
  <si>
    <t>Refund date</t>
  </si>
  <si>
    <t>Returned qty</t>
  </si>
  <si>
    <t>Already reimbursed</t>
  </si>
  <si>
    <t>Days since refund</t>
  </si>
  <si>
    <t>Units not returned</t>
  </si>
  <si>
    <t>Status</t>
  </si>
  <si>
    <t>Amount owed</t>
  </si>
  <si>
    <t>Amount to claim</t>
  </si>
  <si>
    <t>ORD-10421</t>
  </si>
  <si>
    <t>Stainless Door Pull 12in</t>
  </si>
  <si>
    <t>ORD-10433</t>
  </si>
  <si>
    <t>Shower Door Handle</t>
  </si>
  <si>
    <t>ORD-10458</t>
  </si>
  <si>
    <t>Cabinet Handle Set (10 pcs)</t>
  </si>
  <si>
    <t>ORD-10477</t>
  </si>
  <si>
    <t>Barn Door Hardware Kit</t>
  </si>
  <si>
    <t>ORD-10502</t>
  </si>
  <si>
    <t>Gate Latch</t>
  </si>
  <si>
    <t>ORD-10519</t>
  </si>
  <si>
    <t>ORD-10544</t>
  </si>
  <si>
    <t>ORD-10561</t>
  </si>
  <si>
    <t>ORD-10588</t>
  </si>
  <si>
    <t>ORD-10603</t>
  </si>
  <si>
    <t>ORD-10627</t>
  </si>
  <si>
    <t>ORD-10645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</si>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</sst>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d\,\ yyyy"/>
    <numFmt numFmtId="179" formatCode="&quot;PHP &quot;#,##0.00"/>
  </numFmts>
  <fonts count="27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name val="Arial"/>
      <charset val="134"/>
    </font>
    <font>
      <b/>
      <sz val="12"/>
      <color rgb="FF9C0006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8" fontId="2" fillId="2" borderId="1" xfId="0" applyNumberFormat="1" applyFont="1" applyFill="1" applyBorder="1"/>
    <xf numFmtId="0" fontId="4" fillId="3" borderId="0" xfId="0" applyFont="1" applyFill="1"/>
    <xf numFmtId="0" fontId="5" fillId="3" borderId="0" xfId="0" applyFont="1" applyFill="1"/>
    <xf numFmtId="1" fontId="2" fillId="2" borderId="1" xfId="0" applyNumberFormat="1" applyFont="1" applyFill="1" applyBorder="1"/>
    <xf numFmtId="179" fontId="5" fillId="3" borderId="0" xfId="0" applyNumberFormat="1" applyFont="1" applyFill="1"/>
    <xf numFmtId="9" fontId="2" fillId="2" borderId="1" xfId="0" applyNumberFormat="1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78" fontId="2" fillId="0" borderId="1" xfId="0" applyNumberFormat="1" applyFont="1" applyBorder="1"/>
    <xf numFmtId="179" fontId="2" fillId="0" borderId="1" xfId="0" applyNumberFormat="1" applyFont="1" applyBorder="1"/>
    <xf numFmtId="179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color rgb="FF9C0006"/>
      </font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workbookViewId="0">
      <pane ySplit="9" topLeftCell="A10" activePane="bottomLeft" state="frozen"/>
      <selection/>
      <selection pane="bottomLeft" activeCell="A1" sqref="A1"/>
    </sheetView>
  </sheetViews>
  <sheetFormatPr defaultColWidth="9" defaultRowHeight="15"/>
  <cols>
    <col min="1" max="1" width="34" customWidth="1"/>
    <col min="2" max="2" width="13" customWidth="1"/>
    <col min="3" max="3" width="28" customWidth="1"/>
    <col min="4" max="4" width="15" customWidth="1"/>
    <col min="5" max="5" width="11" customWidth="1"/>
    <col min="6" max="6" width="16" customWidth="1"/>
    <col min="7" max="7" width="10" customWidth="1"/>
    <col min="8" max="8" width="15" customWidth="1"/>
    <col min="9" max="10" width="10" customWidth="1"/>
    <col min="11" max="11" width="24" customWidth="1"/>
    <col min="12" max="13" width="15" customWidth="1"/>
  </cols>
  <sheetData>
    <row r="1" ht="20.25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75" spans="1:13">
      <c r="A4" s="4" t="s">
        <v>2</v>
      </c>
      <c r="B4" s="5">
        <v>46295</v>
      </c>
      <c r="C4" s="3" t="s">
        <v>3</v>
      </c>
      <c r="D4" s="2"/>
      <c r="E4" s="6" t="s">
        <v>4</v>
      </c>
      <c r="F4" s="7">
        <f>COUNTIF(K10:K21,"Claim now")</f>
        <v>5</v>
      </c>
      <c r="G4" s="2"/>
      <c r="H4" s="2"/>
      <c r="I4" s="2"/>
      <c r="J4" s="2"/>
      <c r="K4" s="2"/>
      <c r="L4" s="2"/>
      <c r="M4" s="2"/>
    </row>
    <row r="5" ht="15.75" spans="1:13">
      <c r="A5" s="4" t="s">
        <v>5</v>
      </c>
      <c r="B5" s="8">
        <v>45</v>
      </c>
      <c r="C5" s="2"/>
      <c r="D5" s="2"/>
      <c r="E5" s="6" t="s">
        <v>6</v>
      </c>
      <c r="F5" s="9">
        <f>SUM(M10:M21)</f>
        <v>3870</v>
      </c>
      <c r="G5" s="2"/>
      <c r="H5" s="2"/>
      <c r="I5" s="2"/>
      <c r="J5" s="2"/>
      <c r="K5" s="2"/>
      <c r="L5" s="2"/>
      <c r="M5" s="2"/>
    </row>
    <row r="6" spans="1:13">
      <c r="A6" s="4" t="s">
        <v>7</v>
      </c>
      <c r="B6" s="10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45" customHeight="1" spans="1:13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  <c r="I9" s="11" t="s">
        <v>16</v>
      </c>
      <c r="J9" s="11" t="s">
        <v>17</v>
      </c>
      <c r="K9" s="11" t="s">
        <v>18</v>
      </c>
      <c r="L9" s="11" t="s">
        <v>19</v>
      </c>
      <c r="M9" s="11" t="s">
        <v>20</v>
      </c>
    </row>
    <row r="10" spans="1:13">
      <c r="A10" s="12" t="s">
        <v>21</v>
      </c>
      <c r="B10" s="13">
        <v>46175</v>
      </c>
      <c r="C10" s="12" t="s">
        <v>22</v>
      </c>
      <c r="D10" s="14">
        <v>520</v>
      </c>
      <c r="E10" s="12">
        <v>1</v>
      </c>
      <c r="F10" s="13">
        <v>46182</v>
      </c>
      <c r="G10" s="12">
        <v>1</v>
      </c>
      <c r="H10" s="14">
        <v>0</v>
      </c>
      <c r="I10" s="12">
        <f t="shared" ref="I10:I21" si="0">IF(F10="","",$B$4-F10)</f>
        <v>113</v>
      </c>
      <c r="J10" s="12">
        <f t="shared" ref="J10:J21" si="1">E10-G10</f>
        <v>0</v>
      </c>
      <c r="K10" s="12" t="str">
        <f t="shared" ref="K10:K21" si="2">IF(J10&lt;=0,"Closed - all returned",IF(I10&lt;=$B$5,"Waiting - "&amp;($B$5-I10)&amp;" days left",IF(H10&gt;=J10*D10*$B$6,"Fully reimbursed","Claim now")))</f>
        <v>Closed - all returned</v>
      </c>
      <c r="L10" s="14">
        <f t="shared" ref="L10:L21" si="3">IF(AND(J10&gt;0,I10&gt;$B$5),J10*D10*$B$6,0)</f>
        <v>0</v>
      </c>
      <c r="M10" s="14">
        <f t="shared" ref="M10:M21" si="4">MAX(0,L10-H10)</f>
        <v>0</v>
      </c>
    </row>
    <row r="11" spans="1:13">
      <c r="A11" s="12" t="s">
        <v>23</v>
      </c>
      <c r="B11" s="13">
        <v>46178</v>
      </c>
      <c r="C11" s="12" t="s">
        <v>24</v>
      </c>
      <c r="D11" s="14">
        <v>690</v>
      </c>
      <c r="E11" s="12">
        <v>1</v>
      </c>
      <c r="F11" s="13">
        <v>46185</v>
      </c>
      <c r="G11" s="12">
        <v>0</v>
      </c>
      <c r="H11" s="14">
        <v>0</v>
      </c>
      <c r="I11" s="12">
        <f t="shared" si="0"/>
        <v>110</v>
      </c>
      <c r="J11" s="12">
        <f t="shared" si="1"/>
        <v>1</v>
      </c>
      <c r="K11" s="12" t="str">
        <f t="shared" si="2"/>
        <v>Claim now</v>
      </c>
      <c r="L11" s="14">
        <f t="shared" si="3"/>
        <v>690</v>
      </c>
      <c r="M11" s="14">
        <f t="shared" si="4"/>
        <v>690</v>
      </c>
    </row>
    <row r="12" spans="1:13">
      <c r="A12" s="12" t="s">
        <v>25</v>
      </c>
      <c r="B12" s="13">
        <v>46191</v>
      </c>
      <c r="C12" s="12" t="s">
        <v>26</v>
      </c>
      <c r="D12" s="14">
        <v>360</v>
      </c>
      <c r="E12" s="12">
        <v>2</v>
      </c>
      <c r="F12" s="13">
        <v>46198</v>
      </c>
      <c r="G12" s="12">
        <v>1</v>
      </c>
      <c r="H12" s="14">
        <v>0</v>
      </c>
      <c r="I12" s="12">
        <f t="shared" si="0"/>
        <v>97</v>
      </c>
      <c r="J12" s="12">
        <f t="shared" si="1"/>
        <v>1</v>
      </c>
      <c r="K12" s="12" t="str">
        <f t="shared" si="2"/>
        <v>Claim now</v>
      </c>
      <c r="L12" s="14">
        <f t="shared" si="3"/>
        <v>360</v>
      </c>
      <c r="M12" s="14">
        <f t="shared" si="4"/>
        <v>360</v>
      </c>
    </row>
    <row r="13" spans="1:13">
      <c r="A13" s="12" t="s">
        <v>27</v>
      </c>
      <c r="B13" s="13">
        <v>46202</v>
      </c>
      <c r="C13" s="12" t="s">
        <v>28</v>
      </c>
      <c r="D13" s="14">
        <v>1750</v>
      </c>
      <c r="E13" s="12">
        <v>1</v>
      </c>
      <c r="F13" s="13">
        <v>46209</v>
      </c>
      <c r="G13" s="12">
        <v>0</v>
      </c>
      <c r="H13" s="14">
        <v>1750</v>
      </c>
      <c r="I13" s="12">
        <f t="shared" si="0"/>
        <v>86</v>
      </c>
      <c r="J13" s="12">
        <f t="shared" si="1"/>
        <v>1</v>
      </c>
      <c r="K13" s="12" t="str">
        <f t="shared" si="2"/>
        <v>Fully reimbursed</v>
      </c>
      <c r="L13" s="14">
        <f t="shared" si="3"/>
        <v>1750</v>
      </c>
      <c r="M13" s="14">
        <f t="shared" si="4"/>
        <v>0</v>
      </c>
    </row>
    <row r="14" spans="1:13">
      <c r="A14" s="12" t="s">
        <v>29</v>
      </c>
      <c r="B14" s="13">
        <v>46211</v>
      </c>
      <c r="C14" s="12" t="s">
        <v>30</v>
      </c>
      <c r="D14" s="14">
        <v>190</v>
      </c>
      <c r="E14" s="12">
        <v>3</v>
      </c>
      <c r="F14" s="13">
        <v>46217</v>
      </c>
      <c r="G14" s="12">
        <v>0</v>
      </c>
      <c r="H14" s="14">
        <v>190</v>
      </c>
      <c r="I14" s="12">
        <f t="shared" si="0"/>
        <v>78</v>
      </c>
      <c r="J14" s="12">
        <f t="shared" si="1"/>
        <v>3</v>
      </c>
      <c r="K14" s="12" t="str">
        <f t="shared" si="2"/>
        <v>Claim now</v>
      </c>
      <c r="L14" s="14">
        <f t="shared" si="3"/>
        <v>570</v>
      </c>
      <c r="M14" s="14">
        <f t="shared" si="4"/>
        <v>380</v>
      </c>
    </row>
    <row r="15" spans="1:13">
      <c r="A15" s="12" t="s">
        <v>31</v>
      </c>
      <c r="B15" s="13">
        <v>46218</v>
      </c>
      <c r="C15" s="12" t="s">
        <v>22</v>
      </c>
      <c r="D15" s="14">
        <v>520</v>
      </c>
      <c r="E15" s="12">
        <v>2</v>
      </c>
      <c r="F15" s="13">
        <v>46225</v>
      </c>
      <c r="G15" s="12">
        <v>2</v>
      </c>
      <c r="H15" s="14">
        <v>0</v>
      </c>
      <c r="I15" s="12">
        <f t="shared" si="0"/>
        <v>70</v>
      </c>
      <c r="J15" s="12">
        <f t="shared" si="1"/>
        <v>0</v>
      </c>
      <c r="K15" s="12" t="str">
        <f t="shared" si="2"/>
        <v>Closed - all returned</v>
      </c>
      <c r="L15" s="14">
        <f t="shared" si="3"/>
        <v>0</v>
      </c>
      <c r="M15" s="14">
        <f t="shared" si="4"/>
        <v>0</v>
      </c>
    </row>
    <row r="16" spans="1:13">
      <c r="A16" s="12" t="s">
        <v>32</v>
      </c>
      <c r="B16" s="13">
        <v>46227</v>
      </c>
      <c r="C16" s="12" t="s">
        <v>24</v>
      </c>
      <c r="D16" s="14">
        <v>690</v>
      </c>
      <c r="E16" s="12">
        <v>1</v>
      </c>
      <c r="F16" s="13">
        <v>46233</v>
      </c>
      <c r="G16" s="12">
        <v>0</v>
      </c>
      <c r="H16" s="14">
        <v>0</v>
      </c>
      <c r="I16" s="12">
        <f t="shared" si="0"/>
        <v>62</v>
      </c>
      <c r="J16" s="12">
        <f t="shared" si="1"/>
        <v>1</v>
      </c>
      <c r="K16" s="12" t="str">
        <f t="shared" si="2"/>
        <v>Claim now</v>
      </c>
      <c r="L16" s="14">
        <f t="shared" si="3"/>
        <v>690</v>
      </c>
      <c r="M16" s="14">
        <f t="shared" si="4"/>
        <v>690</v>
      </c>
    </row>
    <row r="17" spans="1:13">
      <c r="A17" s="12" t="s">
        <v>33</v>
      </c>
      <c r="B17" s="13">
        <v>46237</v>
      </c>
      <c r="C17" s="12" t="s">
        <v>28</v>
      </c>
      <c r="D17" s="14">
        <v>1750</v>
      </c>
      <c r="E17" s="12">
        <v>1</v>
      </c>
      <c r="F17" s="13">
        <v>46244</v>
      </c>
      <c r="G17" s="12">
        <v>0</v>
      </c>
      <c r="H17" s="14">
        <v>0</v>
      </c>
      <c r="I17" s="12">
        <f t="shared" si="0"/>
        <v>51</v>
      </c>
      <c r="J17" s="12">
        <f t="shared" si="1"/>
        <v>1</v>
      </c>
      <c r="K17" s="12" t="str">
        <f t="shared" si="2"/>
        <v>Claim now</v>
      </c>
      <c r="L17" s="14">
        <f t="shared" si="3"/>
        <v>1750</v>
      </c>
      <c r="M17" s="14">
        <f t="shared" si="4"/>
        <v>1750</v>
      </c>
    </row>
    <row r="18" spans="1:13">
      <c r="A18" s="12" t="s">
        <v>34</v>
      </c>
      <c r="B18" s="13">
        <v>46246</v>
      </c>
      <c r="C18" s="12" t="s">
        <v>26</v>
      </c>
      <c r="D18" s="14">
        <v>360</v>
      </c>
      <c r="E18" s="12">
        <v>1</v>
      </c>
      <c r="F18" s="13">
        <v>46253</v>
      </c>
      <c r="G18" s="12">
        <v>0</v>
      </c>
      <c r="H18" s="14">
        <v>0</v>
      </c>
      <c r="I18" s="12">
        <f t="shared" si="0"/>
        <v>42</v>
      </c>
      <c r="J18" s="12">
        <f t="shared" si="1"/>
        <v>1</v>
      </c>
      <c r="K18" s="12" t="str">
        <f t="shared" si="2"/>
        <v>Waiting - 3 days left</v>
      </c>
      <c r="L18" s="14">
        <f t="shared" si="3"/>
        <v>0</v>
      </c>
      <c r="M18" s="14">
        <f t="shared" si="4"/>
        <v>0</v>
      </c>
    </row>
    <row r="19" spans="1:13">
      <c r="A19" s="12" t="s">
        <v>35</v>
      </c>
      <c r="B19" s="13">
        <v>46255</v>
      </c>
      <c r="C19" s="12" t="s">
        <v>30</v>
      </c>
      <c r="D19" s="14">
        <v>190</v>
      </c>
      <c r="E19" s="12">
        <v>2</v>
      </c>
      <c r="F19" s="13">
        <v>46261</v>
      </c>
      <c r="G19" s="12">
        <v>1</v>
      </c>
      <c r="H19" s="14">
        <v>0</v>
      </c>
      <c r="I19" s="12">
        <f t="shared" si="0"/>
        <v>34</v>
      </c>
      <c r="J19" s="12">
        <f t="shared" si="1"/>
        <v>1</v>
      </c>
      <c r="K19" s="12" t="str">
        <f t="shared" si="2"/>
        <v>Waiting - 11 days left</v>
      </c>
      <c r="L19" s="14">
        <f t="shared" si="3"/>
        <v>0</v>
      </c>
      <c r="M19" s="14">
        <f t="shared" si="4"/>
        <v>0</v>
      </c>
    </row>
    <row r="20" spans="1:13">
      <c r="A20" s="12" t="s">
        <v>36</v>
      </c>
      <c r="B20" s="13">
        <v>46266</v>
      </c>
      <c r="C20" s="12" t="s">
        <v>22</v>
      </c>
      <c r="D20" s="14">
        <v>520</v>
      </c>
      <c r="E20" s="12">
        <v>1</v>
      </c>
      <c r="F20" s="13">
        <v>46272</v>
      </c>
      <c r="G20" s="12">
        <v>0</v>
      </c>
      <c r="H20" s="14">
        <v>0</v>
      </c>
      <c r="I20" s="12">
        <f t="shared" si="0"/>
        <v>23</v>
      </c>
      <c r="J20" s="12">
        <f t="shared" si="1"/>
        <v>1</v>
      </c>
      <c r="K20" s="12" t="str">
        <f t="shared" si="2"/>
        <v>Waiting - 22 days left</v>
      </c>
      <c r="L20" s="14">
        <f t="shared" si="3"/>
        <v>0</v>
      </c>
      <c r="M20" s="14">
        <f t="shared" si="4"/>
        <v>0</v>
      </c>
    </row>
    <row r="21" spans="1:13">
      <c r="A21" s="12" t="s">
        <v>37</v>
      </c>
      <c r="B21" s="13">
        <v>46275</v>
      </c>
      <c r="C21" s="12" t="s">
        <v>24</v>
      </c>
      <c r="D21" s="14">
        <v>690</v>
      </c>
      <c r="E21" s="12">
        <v>2</v>
      </c>
      <c r="F21" s="13">
        <v>46281</v>
      </c>
      <c r="G21" s="12">
        <v>0</v>
      </c>
      <c r="H21" s="14">
        <v>0</v>
      </c>
      <c r="I21" s="12">
        <f t="shared" si="0"/>
        <v>14</v>
      </c>
      <c r="J21" s="12">
        <f t="shared" si="1"/>
        <v>2</v>
      </c>
      <c r="K21" s="12" t="str">
        <f t="shared" si="2"/>
        <v>Waiting - 31 days left</v>
      </c>
      <c r="L21" s="14">
        <f t="shared" si="3"/>
        <v>0</v>
      </c>
      <c r="M21" s="14">
        <f t="shared" si="4"/>
        <v>0</v>
      </c>
    </row>
    <row r="22" spans="1:13">
      <c r="A22" s="4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15">
        <f>SUM(L10:L21)</f>
        <v>5810</v>
      </c>
      <c r="M22" s="15">
        <f>SUM(M10:M21)</f>
        <v>3870</v>
      </c>
    </row>
  </sheetData>
  <conditionalFormatting sqref="K10:K21">
    <cfRule type="expression" dxfId="0" priority="1">
      <formula>$K10="Claim now"</formula>
    </cfRule>
    <cfRule type="expression" dxfId="1" priority="2">
      <formula>OR($K10="Fully reimbursed",LEFT($K10,6)="Closed")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49363B39B8344D45BDCE7755BD34201A_12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