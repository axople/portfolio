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AR Ag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<sst xmlns="http://schemas.openxmlformats.org/spreadsheetml/2006/main" count="61" uniqueCount="44">
  <si>
    <t>Kape Luntian Cafe - Accounts Receivable Aging</t>
  </si>
  <si>
    <t>Catering invoices, who owes what and for how long  |  Sample data, fictional company</t>
  </si>
  <si>
    <t>As-of date</t>
  </si>
  <si>
    <t>Yellow cells are settings.</t>
  </si>
  <si>
    <t>Payment terms (days)</t>
  </si>
  <si>
    <t>Invoice No.</t>
  </si>
  <si>
    <t>Customer</t>
  </si>
  <si>
    <t>Invoice date</t>
  </si>
  <si>
    <t>Due date</t>
  </si>
  <si>
    <t>Amount</t>
  </si>
  <si>
    <t>Paid</t>
  </si>
  <si>
    <t>Balance</t>
  </si>
  <si>
    <t>Days past due</t>
  </si>
  <si>
    <t>Aging bucket</t>
  </si>
  <si>
    <t>SI-0201</t>
  </si>
  <si>
    <t>Amadeo Parish Office</t>
  </si>
  <si>
    <t>SI-0204</t>
  </si>
  <si>
    <t>Cavite Rotary Club</t>
  </si>
  <si>
    <t>SI-0209</t>
  </si>
  <si>
    <t>Dizon Family Events</t>
  </si>
  <si>
    <t>SI-0213</t>
  </si>
  <si>
    <t>Silang Tech Hub</t>
  </si>
  <si>
    <t>SI-0218</t>
  </si>
  <si>
    <t>SI-0222</t>
  </si>
  <si>
    <t>Tagaytay Wellness Resort</t>
  </si>
  <si>
    <t>SI-0227</t>
  </si>
  <si>
    <t>SI-0231</t>
  </si>
  <si>
    <t>SI-0236</t>
  </si>
  <si>
    <t>SI-0240</t>
  </si>
  <si>
    <t>SI-0244</t>
  </si>
  <si>
    <t>Imus Rotaract Chapter</t>
  </si>
  <si>
    <t>SI-0249</t>
  </si>
  <si>
    <t>SI-0253</t>
  </si>
  <si>
    <t>SI-0258</t>
  </si>
  <si>
    <t>SI-0262</t>
  </si>
  <si>
    <t>SUMMARY BY CUSTOMER (unpaid balances)</t>
  </si>
  <si>
    <t>Current</t>
  </si>
  <si>
    <t>1-30</t>
  </si>
  <si>
    <t>31-60</t>
  </si>
  <si>
    <t>61-90</t>
  </si>
  <si>
    <t>Over 90</t>
  </si>
  <si>
    <t>Total</t>
  </si>
  <si>
    <t>% of total</t>
  </si>
  <si>
    <t>Check: summary total equals the invoice list balance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</si>
</sst>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m\ d\,\ yyyy"/>
    <numFmt numFmtId="179" formatCode="&quot;PHP &quot;#,##0.00"/>
    <numFmt numFmtId="180" formatCode="&quot;PHP &quot;#,##0"/>
    <numFmt numFmtId="181" formatCode="0.0%"/>
  </numFmts>
  <fonts count="29">
    <font>
      <sz val="11"/>
      <color theme="1"/>
      <name val="Calibri"/>
      <charset val="134"/>
      <scheme val="minor"/>
    </font>
    <font>
      <b/>
      <sz val="16"/>
      <color rgb="FF0F766E"/>
      <name val="Arial"/>
      <charset val="134"/>
    </font>
    <font>
      <sz val="11"/>
      <color theme="1"/>
      <name val="Arial"/>
      <charset val="134"/>
    </font>
    <font>
      <i/>
      <sz val="10"/>
      <color rgb="FF595959"/>
      <name val="Arial"/>
      <charset val="134"/>
    </font>
    <font>
      <b/>
      <sz val="10"/>
      <name val="Arial"/>
      <charset val="134"/>
    </font>
    <font>
      <b/>
      <sz val="10"/>
      <color rgb="FFFFFFFF"/>
      <name val="Arial"/>
      <charset val="134"/>
    </font>
    <font>
      <b/>
      <sz val="12"/>
      <color rgb="FF0F766E"/>
      <name val="Arial"/>
      <charset val="134"/>
    </font>
    <font>
      <i/>
      <sz val="10"/>
      <name val="Arial"/>
      <charset val="134"/>
    </font>
    <font>
      <b/>
      <sz val="10"/>
      <color rgb="FF2E7D32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8" fontId="2" fillId="2" borderId="1" xfId="0" applyNumberFormat="1" applyFont="1" applyFill="1" applyBorder="1"/>
    <xf numFmtId="1" fontId="2" fillId="2" borderId="1" xfId="0" applyNumberFormat="1" applyFont="1" applyFill="1" applyBorder="1"/>
    <xf numFmtId="0" fontId="5" fillId="3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78" fontId="2" fillId="0" borderId="1" xfId="0" applyNumberFormat="1" applyFont="1" applyBorder="1"/>
    <xf numFmtId="179" fontId="2" fillId="0" borderId="1" xfId="0" applyNumberFormat="1" applyFont="1" applyBorder="1"/>
    <xf numFmtId="0" fontId="6" fillId="0" borderId="0" xfId="0" applyFont="1"/>
    <xf numFmtId="180" fontId="2" fillId="0" borderId="1" xfId="0" applyNumberFormat="1" applyFont="1" applyBorder="1"/>
    <xf numFmtId="0" fontId="4" fillId="0" borderId="1" xfId="0" applyFont="1" applyBorder="1"/>
    <xf numFmtId="180" fontId="4" fillId="0" borderId="1" xfId="0" applyNumberFormat="1" applyFont="1" applyBorder="1"/>
    <xf numFmtId="0" fontId="7" fillId="0" borderId="1" xfId="0" applyFont="1" applyBorder="1"/>
    <xf numFmtId="181" fontId="2" fillId="0" borderId="1" xfId="0" applyNumberFormat="1" applyFont="1" applyBorder="1"/>
    <xf numFmtId="0" fontId="7" fillId="0" borderId="0" xfId="0" applyFont="1"/>
    <xf numFmtId="0" fontId="8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b val="1"/>
        <color rgb="FF9C0006"/>
      </font>
      <fill>
        <patternFill patternType="solid">
          <fgColor rgb="FFF8CBAD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5"/>
  <sheetViews>
    <sheetView tabSelected="1" workbookViewId="0">
      <pane ySplit="7" topLeftCell="A8" activePane="bottomLeft" state="frozen"/>
      <selection/>
      <selection pane="bottomLeft" activeCell="A1" sqref="A1"/>
    </sheetView>
  </sheetViews>
  <sheetFormatPr defaultColWidth="9" defaultRowHeight="15"/>
  <cols>
    <col min="1" max="2" width="26" customWidth="1"/>
    <col min="3" max="6" width="14" customWidth="1"/>
    <col min="7" max="7" width="16" customWidth="1"/>
    <col min="8" max="8" width="13" customWidth="1"/>
    <col min="9" max="9" width="14" customWidth="1"/>
  </cols>
  <sheetData>
    <row r="1" ht="20.25" spans="1:9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s="3" t="s">
        <v>1</v>
      </c>
      <c r="B2" s="2"/>
      <c r="C2" s="2"/>
      <c r="D2" s="2"/>
      <c r="E2" s="2"/>
      <c r="F2" s="2"/>
      <c r="G2" s="2"/>
      <c r="H2" s="2"/>
      <c r="I2" s="2"/>
    </row>
    <row r="3" spans="1:9">
      <c r="A3" s="2"/>
      <c r="B3" s="2"/>
      <c r="C3" s="2"/>
      <c r="D3" s="2"/>
      <c r="E3" s="2"/>
      <c r="F3" s="2"/>
      <c r="G3" s="2"/>
      <c r="H3" s="2"/>
      <c r="I3" s="2"/>
    </row>
    <row r="4" spans="1:9">
      <c r="A4" s="4" t="s">
        <v>2</v>
      </c>
      <c r="B4" s="5">
        <v>46295</v>
      </c>
      <c r="C4" s="3" t="s">
        <v>3</v>
      </c>
      <c r="D4" s="2"/>
      <c r="E4" s="2"/>
      <c r="F4" s="2"/>
      <c r="G4" s="2"/>
      <c r="H4" s="2"/>
      <c r="I4" s="2"/>
    </row>
    <row r="5" spans="1:9">
      <c r="A5" s="4" t="s">
        <v>4</v>
      </c>
      <c r="B5" s="6">
        <v>30</v>
      </c>
      <c r="C5" s="2"/>
      <c r="D5" s="2"/>
      <c r="E5" s="2"/>
      <c r="F5" s="2"/>
      <c r="G5" s="2"/>
      <c r="H5" s="2"/>
      <c r="I5" s="2"/>
    </row>
    <row r="6" spans="1:9">
      <c r="A6" s="2"/>
      <c r="B6" s="2"/>
      <c r="C6" s="2"/>
      <c r="D6" s="2"/>
      <c r="E6" s="2"/>
      <c r="F6" s="2"/>
      <c r="G6" s="2"/>
      <c r="H6" s="2"/>
      <c r="I6" s="2"/>
    </row>
    <row r="7" ht="25.5" spans="1:9">
      <c r="A7" s="7" t="s">
        <v>5</v>
      </c>
      <c r="B7" s="7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  <c r="H7" s="7" t="s">
        <v>12</v>
      </c>
      <c r="I7" s="7" t="s">
        <v>13</v>
      </c>
    </row>
    <row r="8" spans="1:9">
      <c r="A8" s="8" t="s">
        <v>14</v>
      </c>
      <c r="B8" s="8" t="s">
        <v>15</v>
      </c>
      <c r="C8" s="9">
        <v>46162</v>
      </c>
      <c r="D8" s="9">
        <f t="shared" ref="D8:D22" si="0">C8+$B$5</f>
        <v>46192</v>
      </c>
      <c r="E8" s="10">
        <v>18500</v>
      </c>
      <c r="F8" s="10">
        <v>18500</v>
      </c>
      <c r="G8" s="10">
        <f t="shared" ref="G8:G22" si="1">E8-F8</f>
        <v>0</v>
      </c>
      <c r="H8" s="8">
        <f t="shared" ref="H8:H22" si="2">IF(G8=0,0,MAX(0,$B$4-D8))</f>
        <v>0</v>
      </c>
      <c r="I8" s="8" t="str">
        <f t="shared" ref="I8:I22" si="3">IF(G8=0,"Paid",IF(H8=0,"Current",IF(H8&lt;=30,"1-30",IF(H8&lt;=60,"31-60",IF(H8&lt;=90,"61-90","Over 90")))))</f>
        <v>Paid</v>
      </c>
    </row>
    <row r="9" spans="1:9">
      <c r="A9" s="8" t="s">
        <v>16</v>
      </c>
      <c r="B9" s="8" t="s">
        <v>17</v>
      </c>
      <c r="C9" s="9">
        <v>46170</v>
      </c>
      <c r="D9" s="9">
        <f t="shared" si="0"/>
        <v>46200</v>
      </c>
      <c r="E9" s="10">
        <v>24000</v>
      </c>
      <c r="F9" s="10">
        <v>10000</v>
      </c>
      <c r="G9" s="10">
        <f t="shared" si="1"/>
        <v>14000</v>
      </c>
      <c r="H9" s="8">
        <f t="shared" si="2"/>
        <v>95</v>
      </c>
      <c r="I9" s="8" t="str">
        <f t="shared" si="3"/>
        <v>Over 90</v>
      </c>
    </row>
    <row r="10" spans="1:9">
      <c r="A10" s="8" t="s">
        <v>18</v>
      </c>
      <c r="B10" s="8" t="s">
        <v>19</v>
      </c>
      <c r="C10" s="9">
        <v>46183</v>
      </c>
      <c r="D10" s="9">
        <f t="shared" si="0"/>
        <v>46213</v>
      </c>
      <c r="E10" s="10">
        <v>12000</v>
      </c>
      <c r="F10" s="10">
        <v>0</v>
      </c>
      <c r="G10" s="10">
        <f t="shared" si="1"/>
        <v>12000</v>
      </c>
      <c r="H10" s="8">
        <f t="shared" si="2"/>
        <v>82</v>
      </c>
      <c r="I10" s="8" t="str">
        <f t="shared" si="3"/>
        <v>61-90</v>
      </c>
    </row>
    <row r="11" spans="1:9">
      <c r="A11" s="8" t="s">
        <v>20</v>
      </c>
      <c r="B11" s="8" t="s">
        <v>21</v>
      </c>
      <c r="C11" s="9">
        <v>46195</v>
      </c>
      <c r="D11" s="9">
        <f t="shared" si="0"/>
        <v>46225</v>
      </c>
      <c r="E11" s="10">
        <v>32500</v>
      </c>
      <c r="F11" s="10">
        <v>32500</v>
      </c>
      <c r="G11" s="10">
        <f t="shared" si="1"/>
        <v>0</v>
      </c>
      <c r="H11" s="8">
        <f t="shared" si="2"/>
        <v>0</v>
      </c>
      <c r="I11" s="8" t="str">
        <f t="shared" si="3"/>
        <v>Paid</v>
      </c>
    </row>
    <row r="12" spans="1:9">
      <c r="A12" s="8" t="s">
        <v>22</v>
      </c>
      <c r="B12" s="8" t="s">
        <v>15</v>
      </c>
      <c r="C12" s="9">
        <v>46206</v>
      </c>
      <c r="D12" s="9">
        <f t="shared" si="0"/>
        <v>46236</v>
      </c>
      <c r="E12" s="10">
        <v>9800</v>
      </c>
      <c r="F12" s="10">
        <v>0</v>
      </c>
      <c r="G12" s="10">
        <f t="shared" si="1"/>
        <v>9800</v>
      </c>
      <c r="H12" s="8">
        <f t="shared" si="2"/>
        <v>59</v>
      </c>
      <c r="I12" s="8" t="str">
        <f t="shared" si="3"/>
        <v>31-60</v>
      </c>
    </row>
    <row r="13" spans="1:9">
      <c r="A13" s="8" t="s">
        <v>23</v>
      </c>
      <c r="B13" s="8" t="s">
        <v>24</v>
      </c>
      <c r="C13" s="9">
        <v>46217</v>
      </c>
      <c r="D13" s="9">
        <f t="shared" si="0"/>
        <v>46247</v>
      </c>
      <c r="E13" s="10">
        <v>45000</v>
      </c>
      <c r="F13" s="10">
        <v>20000</v>
      </c>
      <c r="G13" s="10">
        <f t="shared" si="1"/>
        <v>25000</v>
      </c>
      <c r="H13" s="8">
        <f t="shared" si="2"/>
        <v>48</v>
      </c>
      <c r="I13" s="8" t="str">
        <f t="shared" si="3"/>
        <v>31-60</v>
      </c>
    </row>
    <row r="14" spans="1:9">
      <c r="A14" s="8" t="s">
        <v>25</v>
      </c>
      <c r="B14" s="8" t="s">
        <v>17</v>
      </c>
      <c r="C14" s="9">
        <v>46228</v>
      </c>
      <c r="D14" s="9">
        <f t="shared" si="0"/>
        <v>46258</v>
      </c>
      <c r="E14" s="10">
        <v>15600</v>
      </c>
      <c r="F14" s="10">
        <v>0</v>
      </c>
      <c r="G14" s="10">
        <f t="shared" si="1"/>
        <v>15600</v>
      </c>
      <c r="H14" s="8">
        <f t="shared" si="2"/>
        <v>37</v>
      </c>
      <c r="I14" s="8" t="str">
        <f t="shared" si="3"/>
        <v>31-60</v>
      </c>
    </row>
    <row r="15" spans="1:9">
      <c r="A15" s="8" t="s">
        <v>26</v>
      </c>
      <c r="B15" s="8" t="s">
        <v>21</v>
      </c>
      <c r="C15" s="9">
        <v>46238</v>
      </c>
      <c r="D15" s="9">
        <f t="shared" si="0"/>
        <v>46268</v>
      </c>
      <c r="E15" s="10">
        <v>28700</v>
      </c>
      <c r="F15" s="10">
        <v>0</v>
      </c>
      <c r="G15" s="10">
        <f t="shared" si="1"/>
        <v>28700</v>
      </c>
      <c r="H15" s="8">
        <f t="shared" si="2"/>
        <v>27</v>
      </c>
      <c r="I15" s="8" t="str">
        <f t="shared" si="3"/>
        <v>1-30</v>
      </c>
    </row>
    <row r="16" spans="1:9">
      <c r="A16" s="8" t="s">
        <v>27</v>
      </c>
      <c r="B16" s="8" t="s">
        <v>19</v>
      </c>
      <c r="C16" s="9">
        <v>46249</v>
      </c>
      <c r="D16" s="9">
        <f t="shared" si="0"/>
        <v>46279</v>
      </c>
      <c r="E16" s="10">
        <v>8400</v>
      </c>
      <c r="F16" s="10">
        <v>8400</v>
      </c>
      <c r="G16" s="10">
        <f t="shared" si="1"/>
        <v>0</v>
      </c>
      <c r="H16" s="8">
        <f t="shared" si="2"/>
        <v>0</v>
      </c>
      <c r="I16" s="8" t="str">
        <f t="shared" si="3"/>
        <v>Paid</v>
      </c>
    </row>
    <row r="17" spans="1:9">
      <c r="A17" s="8" t="s">
        <v>28</v>
      </c>
      <c r="B17" s="8" t="s">
        <v>24</v>
      </c>
      <c r="C17" s="9">
        <v>46256</v>
      </c>
      <c r="D17" s="9">
        <f t="shared" si="0"/>
        <v>46286</v>
      </c>
      <c r="E17" s="10">
        <v>38200</v>
      </c>
      <c r="F17" s="10">
        <v>0</v>
      </c>
      <c r="G17" s="10">
        <f t="shared" si="1"/>
        <v>38200</v>
      </c>
      <c r="H17" s="8">
        <f t="shared" si="2"/>
        <v>9</v>
      </c>
      <c r="I17" s="8" t="str">
        <f t="shared" si="3"/>
        <v>1-30</v>
      </c>
    </row>
    <row r="18" spans="1:9">
      <c r="A18" s="8" t="s">
        <v>29</v>
      </c>
      <c r="B18" s="8" t="s">
        <v>30</v>
      </c>
      <c r="C18" s="9">
        <v>46263</v>
      </c>
      <c r="D18" s="9">
        <f t="shared" si="0"/>
        <v>46293</v>
      </c>
      <c r="E18" s="10">
        <v>6500</v>
      </c>
      <c r="F18" s="10">
        <v>0</v>
      </c>
      <c r="G18" s="10">
        <f t="shared" si="1"/>
        <v>6500</v>
      </c>
      <c r="H18" s="8">
        <f t="shared" si="2"/>
        <v>2</v>
      </c>
      <c r="I18" s="8" t="str">
        <f t="shared" si="3"/>
        <v>1-30</v>
      </c>
    </row>
    <row r="19" spans="1:9">
      <c r="A19" s="8" t="s">
        <v>31</v>
      </c>
      <c r="B19" s="8" t="s">
        <v>15</v>
      </c>
      <c r="C19" s="9">
        <v>46270</v>
      </c>
      <c r="D19" s="9">
        <f t="shared" si="0"/>
        <v>46300</v>
      </c>
      <c r="E19" s="10">
        <v>11200</v>
      </c>
      <c r="F19" s="10">
        <v>0</v>
      </c>
      <c r="G19" s="10">
        <f t="shared" si="1"/>
        <v>11200</v>
      </c>
      <c r="H19" s="8">
        <f t="shared" si="2"/>
        <v>0</v>
      </c>
      <c r="I19" s="8" t="str">
        <f t="shared" si="3"/>
        <v>Current</v>
      </c>
    </row>
    <row r="20" spans="1:9">
      <c r="A20" s="8" t="s">
        <v>32</v>
      </c>
      <c r="B20" s="8" t="s">
        <v>21</v>
      </c>
      <c r="C20" s="9">
        <v>46277</v>
      </c>
      <c r="D20" s="9">
        <f t="shared" si="0"/>
        <v>46307</v>
      </c>
      <c r="E20" s="10">
        <v>21300</v>
      </c>
      <c r="F20" s="10">
        <v>5000</v>
      </c>
      <c r="G20" s="10">
        <f t="shared" si="1"/>
        <v>16300</v>
      </c>
      <c r="H20" s="8">
        <f t="shared" si="2"/>
        <v>0</v>
      </c>
      <c r="I20" s="8" t="str">
        <f t="shared" si="3"/>
        <v>Current</v>
      </c>
    </row>
    <row r="21" spans="1:9">
      <c r="A21" s="8" t="s">
        <v>33</v>
      </c>
      <c r="B21" s="8" t="s">
        <v>30</v>
      </c>
      <c r="C21" s="9">
        <v>46284</v>
      </c>
      <c r="D21" s="9">
        <f t="shared" si="0"/>
        <v>46314</v>
      </c>
      <c r="E21" s="10">
        <v>7400</v>
      </c>
      <c r="F21" s="10">
        <v>0</v>
      </c>
      <c r="G21" s="10">
        <f t="shared" si="1"/>
        <v>7400</v>
      </c>
      <c r="H21" s="8">
        <f t="shared" si="2"/>
        <v>0</v>
      </c>
      <c r="I21" s="8" t="str">
        <f t="shared" si="3"/>
        <v>Current</v>
      </c>
    </row>
    <row r="22" spans="1:9">
      <c r="A22" s="8" t="s">
        <v>34</v>
      </c>
      <c r="B22" s="8" t="s">
        <v>24</v>
      </c>
      <c r="C22" s="9">
        <v>46291</v>
      </c>
      <c r="D22" s="9">
        <f t="shared" si="0"/>
        <v>46321</v>
      </c>
      <c r="E22" s="10">
        <v>52000</v>
      </c>
      <c r="F22" s="10">
        <v>0</v>
      </c>
      <c r="G22" s="10">
        <f t="shared" si="1"/>
        <v>52000</v>
      </c>
      <c r="H22" s="8">
        <f t="shared" si="2"/>
        <v>0</v>
      </c>
      <c r="I22" s="8" t="str">
        <f t="shared" si="3"/>
        <v>Current</v>
      </c>
    </row>
    <row r="23" spans="1:9">
      <c r="A23" s="2"/>
      <c r="B23" s="2"/>
      <c r="C23" s="2"/>
      <c r="D23" s="2"/>
      <c r="E23" s="2"/>
      <c r="F23" s="2"/>
      <c r="G23" s="2"/>
      <c r="H23" s="2"/>
      <c r="I23" s="2"/>
    </row>
    <row r="24" ht="15.75" spans="1:9">
      <c r="A24" s="11" t="s">
        <v>35</v>
      </c>
      <c r="B24" s="2"/>
      <c r="C24" s="2"/>
      <c r="D24" s="2"/>
      <c r="E24" s="2"/>
      <c r="F24" s="2"/>
      <c r="G24" s="2"/>
      <c r="H24" s="2"/>
      <c r="I24" s="2"/>
    </row>
    <row r="25" spans="1:9">
      <c r="A25" s="7" t="s">
        <v>6</v>
      </c>
      <c r="B25" s="7" t="s">
        <v>36</v>
      </c>
      <c r="C25" s="7" t="s">
        <v>37</v>
      </c>
      <c r="D25" s="7" t="s">
        <v>38</v>
      </c>
      <c r="E25" s="7" t="s">
        <v>39</v>
      </c>
      <c r="F25" s="7" t="s">
        <v>40</v>
      </c>
      <c r="G25" s="7" t="s">
        <v>41</v>
      </c>
      <c r="H25" s="2"/>
      <c r="I25" s="2"/>
    </row>
    <row r="26" spans="1:9">
      <c r="A26" s="8" t="s">
        <v>15</v>
      </c>
      <c r="B26" s="12">
        <f t="shared" ref="B26:B31" si="4">SUMIFS($G$8:$G$22,$B$8:$B$22,$A26,$I$8:$I$22,"Current")</f>
        <v>11200</v>
      </c>
      <c r="C26" s="12">
        <f t="shared" ref="C26:C31" si="5">SUMIFS($G$8:$G$22,$B$8:$B$22,$A26,$I$8:$I$22,"1-30")</f>
        <v>0</v>
      </c>
      <c r="D26" s="12">
        <f t="shared" ref="D26:D31" si="6">SUMIFS($G$8:$G$22,$B$8:$B$22,$A26,$I$8:$I$22,"31-60")</f>
        <v>9800</v>
      </c>
      <c r="E26" s="12">
        <f t="shared" ref="E26:E31" si="7">SUMIFS($G$8:$G$22,$B$8:$B$22,$A26,$I$8:$I$22,"61-90")</f>
        <v>0</v>
      </c>
      <c r="F26" s="12">
        <f t="shared" ref="F26:F31" si="8">SUMIFS($G$8:$G$22,$B$8:$B$22,$A26,$I$8:$I$22,"Over 90")</f>
        <v>0</v>
      </c>
      <c r="G26" s="12">
        <f t="shared" ref="G26:G31" si="9">SUM(B26:F26)</f>
        <v>21000</v>
      </c>
      <c r="H26" s="2"/>
      <c r="I26" s="2"/>
    </row>
    <row r="27" spans="1:9">
      <c r="A27" s="8" t="s">
        <v>17</v>
      </c>
      <c r="B27" s="12">
        <f t="shared" si="4"/>
        <v>0</v>
      </c>
      <c r="C27" s="12">
        <f t="shared" si="5"/>
        <v>0</v>
      </c>
      <c r="D27" s="12">
        <f t="shared" si="6"/>
        <v>15600</v>
      </c>
      <c r="E27" s="12">
        <f t="shared" si="7"/>
        <v>0</v>
      </c>
      <c r="F27" s="12">
        <f t="shared" si="8"/>
        <v>14000</v>
      </c>
      <c r="G27" s="12">
        <f t="shared" si="9"/>
        <v>29600</v>
      </c>
      <c r="H27" s="2"/>
      <c r="I27" s="2"/>
    </row>
    <row r="28" spans="1:9">
      <c r="A28" s="8" t="s">
        <v>19</v>
      </c>
      <c r="B28" s="12">
        <f t="shared" si="4"/>
        <v>0</v>
      </c>
      <c r="C28" s="12">
        <f t="shared" si="5"/>
        <v>0</v>
      </c>
      <c r="D28" s="12">
        <f t="shared" si="6"/>
        <v>0</v>
      </c>
      <c r="E28" s="12">
        <f t="shared" si="7"/>
        <v>12000</v>
      </c>
      <c r="F28" s="12">
        <f t="shared" si="8"/>
        <v>0</v>
      </c>
      <c r="G28" s="12">
        <f t="shared" si="9"/>
        <v>12000</v>
      </c>
      <c r="H28" s="2"/>
      <c r="I28" s="2"/>
    </row>
    <row r="29" spans="1:9">
      <c r="A29" s="8" t="s">
        <v>30</v>
      </c>
      <c r="B29" s="12">
        <f t="shared" si="4"/>
        <v>7400</v>
      </c>
      <c r="C29" s="12">
        <f t="shared" si="5"/>
        <v>6500</v>
      </c>
      <c r="D29" s="12">
        <f t="shared" si="6"/>
        <v>0</v>
      </c>
      <c r="E29" s="12">
        <f t="shared" si="7"/>
        <v>0</v>
      </c>
      <c r="F29" s="12">
        <f t="shared" si="8"/>
        <v>0</v>
      </c>
      <c r="G29" s="12">
        <f t="shared" si="9"/>
        <v>13900</v>
      </c>
      <c r="H29" s="2"/>
      <c r="I29" s="2"/>
    </row>
    <row r="30" spans="1:9">
      <c r="A30" s="8" t="s">
        <v>21</v>
      </c>
      <c r="B30" s="12">
        <f t="shared" si="4"/>
        <v>16300</v>
      </c>
      <c r="C30" s="12">
        <f t="shared" si="5"/>
        <v>28700</v>
      </c>
      <c r="D30" s="12">
        <f t="shared" si="6"/>
        <v>0</v>
      </c>
      <c r="E30" s="12">
        <f t="shared" si="7"/>
        <v>0</v>
      </c>
      <c r="F30" s="12">
        <f t="shared" si="8"/>
        <v>0</v>
      </c>
      <c r="G30" s="12">
        <f t="shared" si="9"/>
        <v>45000</v>
      </c>
      <c r="H30" s="2"/>
      <c r="I30" s="2"/>
    </row>
    <row r="31" spans="1:9">
      <c r="A31" s="8" t="s">
        <v>24</v>
      </c>
      <c r="B31" s="12">
        <f t="shared" si="4"/>
        <v>52000</v>
      </c>
      <c r="C31" s="12">
        <f t="shared" si="5"/>
        <v>38200</v>
      </c>
      <c r="D31" s="12">
        <f t="shared" si="6"/>
        <v>25000</v>
      </c>
      <c r="E31" s="12">
        <f t="shared" si="7"/>
        <v>0</v>
      </c>
      <c r="F31" s="12">
        <f t="shared" si="8"/>
        <v>0</v>
      </c>
      <c r="G31" s="12">
        <f t="shared" si="9"/>
        <v>115200</v>
      </c>
      <c r="H31" s="2"/>
      <c r="I31" s="2"/>
    </row>
    <row r="32" spans="1:9">
      <c r="A32" s="13" t="s">
        <v>41</v>
      </c>
      <c r="B32" s="14">
        <f t="shared" ref="B32:G32" si="10">SUM(B26:B31)</f>
        <v>86900</v>
      </c>
      <c r="C32" s="14">
        <f t="shared" si="10"/>
        <v>73400</v>
      </c>
      <c r="D32" s="14">
        <f t="shared" si="10"/>
        <v>50400</v>
      </c>
      <c r="E32" s="14">
        <f t="shared" si="10"/>
        <v>12000</v>
      </c>
      <c r="F32" s="14">
        <f t="shared" si="10"/>
        <v>14000</v>
      </c>
      <c r="G32" s="14">
        <f t="shared" si="10"/>
        <v>236700</v>
      </c>
      <c r="H32" s="2"/>
      <c r="I32" s="2"/>
    </row>
    <row r="33" spans="1:9">
      <c r="A33" s="15" t="s">
        <v>42</v>
      </c>
      <c r="B33" s="16">
        <f t="shared" ref="B33:G33" si="11">IF($G$32=0,0,B32/$G$32)</f>
        <v>0.367131389945078</v>
      </c>
      <c r="C33" s="16">
        <f t="shared" si="11"/>
        <v>0.310097169412759</v>
      </c>
      <c r="D33" s="16">
        <f t="shared" si="11"/>
        <v>0.212927756653992</v>
      </c>
      <c r="E33" s="16">
        <f t="shared" si="11"/>
        <v>0.0506970849176172</v>
      </c>
      <c r="F33" s="16">
        <f t="shared" si="11"/>
        <v>0.0591465990705534</v>
      </c>
      <c r="G33" s="16">
        <f t="shared" si="11"/>
        <v>1</v>
      </c>
      <c r="H33" s="2"/>
      <c r="I33" s="2"/>
    </row>
    <row r="34" spans="1:9">
      <c r="A34" s="2"/>
      <c r="B34" s="2"/>
      <c r="C34" s="2"/>
      <c r="D34" s="2"/>
      <c r="E34" s="2"/>
      <c r="F34" s="2"/>
      <c r="G34" s="2"/>
      <c r="H34" s="2"/>
      <c r="I34" s="2"/>
    </row>
    <row r="35" spans="1:9">
      <c r="A35" s="17" t="s">
        <v>43</v>
      </c>
      <c r="B35" s="2"/>
      <c r="C35" s="2"/>
      <c r="D35" s="2"/>
      <c r="E35" s="2"/>
      <c r="F35" s="2"/>
      <c r="G35" s="18" t="str">
        <f>IF(ROUND(G32-SUM(G8:G22),2)=0,"OK","Mismatch")</f>
        <v>OK</v>
      </c>
      <c r="H35" s="2"/>
      <c r="I35" s="2"/>
    </row>
  </sheetData>
  <conditionalFormatting sqref="I8:I22">
    <cfRule type="expression" dxfId="0" priority="1">
      <formula>OR($I8="61-90",$I8="Over 90")</formula>
    </cfRule>
    <cfRule type="expression" dxfId="1" priority="2">
      <formula>$I8="Paid"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 Aging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Marquez Jade Kendra</cp:lastModifiedBy>
  <dcterms:created xsi:type="dcterms:W3CDTF">2026-09-28T09:32:00Z</dcterms:created>
  <dcterms:modified xsi:type="dcterms:W3CDTF">2026-09-28T09:32:42Z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C4656FB9B8C240F48C1B3643B4AB47BB_12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